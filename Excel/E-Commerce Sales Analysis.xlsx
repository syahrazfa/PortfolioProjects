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Ex1.xml" ContentType="application/vnd.ms-office.chartex+xml"/>
  <Override PartName="/xl/charts/style11.xml" ContentType="application/vnd.ms-office.chartstyle+xml"/>
  <Override PartName="/xl/charts/colors1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D:\Workspace\Data Analyst\Excel\E-Commerce Sales Analysis\"/>
    </mc:Choice>
  </mc:AlternateContent>
  <xr:revisionPtr revIDLastSave="0" documentId="13_ncr:1_{DEF98670-835D-4531-8F6F-D331B447D6B8}" xr6:coauthVersionLast="47" xr6:coauthVersionMax="47" xr10:uidLastSave="{00000000-0000-0000-0000-000000000000}"/>
  <bookViews>
    <workbookView xWindow="-120" yWindow="-120" windowWidth="29040" windowHeight="17520" activeTab="1" xr2:uid="{E74AA601-A768-4927-A0EC-07C6214BD1DB}"/>
  </bookViews>
  <sheets>
    <sheet name="Insights" sheetId="12" r:id="rId1"/>
    <sheet name="Dashboard" sheetId="4" r:id="rId2"/>
    <sheet name="PivotTables" sheetId="11" r:id="rId3"/>
    <sheet name="database" sheetId="5" r:id="rId4"/>
    <sheet name="Orders" sheetId="3" r:id="rId5"/>
    <sheet name="Details" sheetId="2" r:id="rId6"/>
  </sheets>
  <definedNames>
    <definedName name="_xlchart.v5.0" hidden="1">Dashboard!$P$48</definedName>
    <definedName name="_xlchart.v5.1" hidden="1">Dashboard!$P$49</definedName>
    <definedName name="_xlchart.v5.2" hidden="1">PivotTables!$A$3</definedName>
    <definedName name="_xlchart.v5.3" hidden="1">PivotTables!$A$4:$A$9</definedName>
    <definedName name="_xlchart.v5.4" hidden="1">PivotTables!$B$3</definedName>
    <definedName name="_xlchart.v5.5" hidden="1">PivotTables!$B$4:$B$9</definedName>
    <definedName name="_xlchart.v5.6" hidden="1">Dashboard!$P$48</definedName>
    <definedName name="_xlchart.v5.7" hidden="1">Dashboard!$P$49</definedName>
    <definedName name="ExternalData_1" localSheetId="5" hidden="1">Details!$A$1:$G$1501</definedName>
    <definedName name="ExternalData_2" localSheetId="3" hidden="1">database!$A$1:$E$501</definedName>
    <definedName name="ExternalData_2" localSheetId="4" hidden="1">Orders!$A$1:$E$501</definedName>
    <definedName name="Slicer_Quarters__Order_Date">#N/A</definedName>
    <definedName name="Slicer_Stat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56" i="5" l="1"/>
  <c r="K394" i="5"/>
  <c r="K374" i="5"/>
  <c r="K324" i="5"/>
  <c r="K158" i="5"/>
  <c r="K368" i="5"/>
  <c r="K356" i="5"/>
  <c r="K494" i="5"/>
  <c r="K199" i="5"/>
  <c r="K3" i="5"/>
  <c r="K259" i="5"/>
  <c r="K370" i="5"/>
  <c r="K500" i="5"/>
  <c r="K398" i="5"/>
  <c r="K282" i="5"/>
  <c r="K162" i="5"/>
  <c r="K288" i="5"/>
  <c r="K224" i="5"/>
  <c r="K254" i="5"/>
  <c r="K263" i="5"/>
  <c r="K231" i="5"/>
  <c r="K187" i="5"/>
  <c r="K87" i="5"/>
  <c r="K423" i="5"/>
  <c r="K404" i="5"/>
  <c r="K156" i="5"/>
  <c r="K303" i="5"/>
  <c r="K336" i="5"/>
  <c r="K198" i="5"/>
  <c r="K40" i="5"/>
  <c r="K82" i="5"/>
  <c r="K310" i="5"/>
  <c r="K311" i="5"/>
  <c r="K351" i="5"/>
  <c r="K14" i="5"/>
  <c r="K320" i="5"/>
  <c r="K169" i="5"/>
  <c r="K30" i="5"/>
  <c r="K130" i="5"/>
  <c r="K344" i="5"/>
  <c r="K243" i="5"/>
  <c r="K474" i="5"/>
  <c r="K179" i="5"/>
  <c r="K118" i="5"/>
  <c r="K486" i="5"/>
  <c r="K449" i="5"/>
  <c r="K194" i="5"/>
  <c r="K57" i="5"/>
  <c r="K9" i="5"/>
  <c r="K153" i="5"/>
  <c r="K180" i="5"/>
  <c r="K4" i="5"/>
  <c r="K452" i="5"/>
  <c r="K54" i="5"/>
  <c r="K256" i="5"/>
  <c r="K163" i="5"/>
  <c r="K396" i="5"/>
  <c r="K330" i="5"/>
  <c r="K407" i="5"/>
  <c r="K98" i="5"/>
  <c r="K237" i="5"/>
  <c r="K2" i="5"/>
  <c r="K274" i="5"/>
  <c r="K429" i="5"/>
  <c r="K365" i="5"/>
  <c r="K77" i="5"/>
  <c r="K240" i="5"/>
  <c r="K295" i="5"/>
  <c r="K326" i="5"/>
  <c r="K354" i="5"/>
  <c r="K173" i="5"/>
  <c r="K358" i="5"/>
  <c r="K131" i="5"/>
  <c r="K278" i="5"/>
  <c r="K468" i="5"/>
  <c r="K211" i="5"/>
  <c r="K269" i="5"/>
  <c r="K424" i="5"/>
  <c r="K27" i="5"/>
  <c r="K338" i="5"/>
  <c r="K11" i="5"/>
  <c r="K178" i="5"/>
  <c r="K139" i="5"/>
  <c r="K379" i="5"/>
  <c r="K44" i="5"/>
  <c r="K129" i="5"/>
  <c r="K150" i="5"/>
  <c r="K68" i="5"/>
  <c r="K58" i="5"/>
  <c r="K154" i="5"/>
  <c r="K462" i="5"/>
  <c r="K239" i="5"/>
  <c r="K103" i="5"/>
  <c r="K353" i="5"/>
  <c r="K67" i="5"/>
  <c r="K76" i="5"/>
  <c r="K51" i="5"/>
  <c r="K387" i="5"/>
  <c r="K251" i="5"/>
  <c r="K299" i="5"/>
  <c r="K214" i="5"/>
  <c r="K226" i="5"/>
  <c r="K355" i="5"/>
  <c r="K97" i="5"/>
  <c r="K39" i="5"/>
  <c r="K148" i="5"/>
  <c r="K305" i="5"/>
  <c r="K253" i="5"/>
  <c r="K382" i="5"/>
  <c r="K300" i="5"/>
  <c r="K271" i="5"/>
  <c r="K441" i="5"/>
  <c r="K72" i="5"/>
  <c r="K501" i="5"/>
  <c r="K52" i="5"/>
  <c r="K369" i="5"/>
  <c r="K420" i="5"/>
  <c r="K65" i="5"/>
  <c r="K434" i="5"/>
  <c r="K453" i="5"/>
  <c r="K400" i="5"/>
  <c r="K182" i="5"/>
  <c r="K165" i="5"/>
  <c r="K204" i="5"/>
  <c r="K346" i="5"/>
  <c r="K487" i="5"/>
  <c r="K246" i="5"/>
  <c r="K218" i="5"/>
  <c r="K352" i="5"/>
  <c r="K371" i="5"/>
  <c r="K279" i="5"/>
  <c r="K458" i="5"/>
  <c r="K286" i="5"/>
  <c r="K298" i="5"/>
  <c r="K157" i="5"/>
  <c r="K260" i="5"/>
  <c r="K92" i="5"/>
  <c r="K34" i="5"/>
  <c r="K109" i="5"/>
  <c r="K232" i="5"/>
  <c r="K257" i="5"/>
  <c r="K294" i="5"/>
  <c r="K360" i="5"/>
  <c r="K401" i="5"/>
  <c r="K498" i="5"/>
  <c r="K146" i="5"/>
  <c r="K375" i="5"/>
  <c r="K71" i="5"/>
  <c r="K249" i="5"/>
  <c r="K289" i="5"/>
  <c r="K343" i="5"/>
  <c r="K248" i="5"/>
  <c r="K37" i="5"/>
  <c r="K227" i="5"/>
  <c r="K482" i="5"/>
  <c r="K26" i="5"/>
  <c r="K203" i="5"/>
  <c r="K94" i="5"/>
  <c r="K197" i="5"/>
  <c r="K207" i="5"/>
  <c r="K111" i="5"/>
  <c r="K70" i="5"/>
  <c r="K258" i="5"/>
  <c r="K186" i="5"/>
  <c r="K331" i="5"/>
  <c r="K454" i="5"/>
  <c r="K471" i="5"/>
  <c r="K192" i="5"/>
  <c r="K384" i="5"/>
  <c r="K380" i="5"/>
  <c r="K455" i="5"/>
  <c r="K479" i="5"/>
  <c r="K188" i="5"/>
  <c r="K83" i="5"/>
  <c r="K363" i="5"/>
  <c r="K151" i="5"/>
  <c r="K229" i="5"/>
  <c r="K23" i="5"/>
  <c r="K152" i="5"/>
  <c r="K86" i="5"/>
  <c r="K411" i="5"/>
  <c r="K436" i="5"/>
  <c r="K99" i="5"/>
  <c r="K367" i="5"/>
  <c r="K233" i="5"/>
  <c r="K144" i="5"/>
  <c r="K287" i="5"/>
  <c r="K376" i="5"/>
  <c r="K499" i="5"/>
  <c r="K15" i="5"/>
  <c r="K127" i="5"/>
  <c r="K451" i="5"/>
  <c r="K10" i="5"/>
  <c r="K142" i="5"/>
  <c r="K357" i="5"/>
  <c r="K90" i="5"/>
  <c r="K340" i="5"/>
  <c r="K291" i="5"/>
  <c r="K215" i="5"/>
  <c r="K119" i="5"/>
  <c r="K315" i="5"/>
  <c r="K304" i="5"/>
  <c r="K497" i="5"/>
  <c r="K55" i="5"/>
  <c r="K477" i="5"/>
  <c r="K362" i="5"/>
  <c r="K255" i="5"/>
  <c r="K43" i="5"/>
  <c r="K84" i="5"/>
  <c r="K417" i="5"/>
  <c r="K435" i="5"/>
  <c r="K457" i="5"/>
  <c r="K220" i="5"/>
  <c r="K116" i="5"/>
  <c r="K334" i="5"/>
  <c r="K415" i="5"/>
  <c r="K56" i="5"/>
  <c r="K217" i="5"/>
  <c r="K35" i="5"/>
  <c r="K296" i="5"/>
  <c r="K88" i="5"/>
  <c r="K63" i="5"/>
  <c r="K36" i="5"/>
  <c r="K461" i="5"/>
  <c r="K446" i="5"/>
  <c r="K171" i="5"/>
  <c r="K145" i="5"/>
  <c r="K19" i="5"/>
  <c r="K359" i="5"/>
  <c r="K170" i="5"/>
  <c r="K20" i="5"/>
  <c r="K89" i="5"/>
  <c r="K230" i="5"/>
  <c r="K437" i="5"/>
  <c r="K115" i="5"/>
  <c r="K390" i="5"/>
  <c r="K250" i="5"/>
  <c r="K252" i="5"/>
  <c r="K183" i="5"/>
  <c r="K22" i="5"/>
  <c r="K397" i="5"/>
  <c r="K79" i="5"/>
  <c r="K128" i="5"/>
  <c r="K419" i="5"/>
  <c r="K161" i="5"/>
  <c r="K205" i="5"/>
  <c r="K155" i="5"/>
  <c r="K421" i="5"/>
  <c r="K41" i="5"/>
  <c r="K190" i="5"/>
  <c r="K473" i="5"/>
  <c r="K408" i="5"/>
  <c r="K488" i="5"/>
  <c r="K18" i="5"/>
  <c r="K385" i="5"/>
  <c r="K168" i="5"/>
  <c r="K388" i="5"/>
  <c r="K241" i="5"/>
  <c r="K64" i="5"/>
  <c r="K431" i="5"/>
  <c r="K348" i="5"/>
  <c r="K297" i="5"/>
  <c r="K410" i="5"/>
  <c r="K277" i="5"/>
  <c r="K316" i="5"/>
  <c r="K196" i="5"/>
  <c r="K403" i="5"/>
  <c r="K46" i="5"/>
  <c r="K238" i="5"/>
  <c r="K13" i="5"/>
  <c r="K213" i="5"/>
  <c r="K244" i="5"/>
  <c r="K427" i="5"/>
  <c r="K174" i="5"/>
  <c r="K276" i="5"/>
  <c r="K61" i="5"/>
  <c r="K319" i="5"/>
  <c r="K372" i="5"/>
  <c r="K464" i="5"/>
  <c r="K268" i="5"/>
  <c r="K104" i="5"/>
  <c r="K62" i="5"/>
  <c r="K149" i="5"/>
  <c r="K167" i="5"/>
  <c r="K262" i="5"/>
  <c r="K459" i="5"/>
  <c r="K209" i="5"/>
  <c r="K301" i="5"/>
  <c r="K485" i="5"/>
  <c r="K53" i="5"/>
  <c r="K409" i="5"/>
  <c r="K200" i="5"/>
  <c r="K328" i="5"/>
  <c r="K386" i="5"/>
  <c r="K395" i="5"/>
  <c r="K21" i="5"/>
  <c r="K113" i="5"/>
  <c r="K377" i="5"/>
  <c r="K469" i="5"/>
  <c r="K122" i="5"/>
  <c r="K264" i="5"/>
  <c r="K392" i="5"/>
  <c r="K138" i="5"/>
  <c r="K444" i="5"/>
  <c r="K378" i="5"/>
  <c r="K309" i="5"/>
  <c r="K342" i="5"/>
  <c r="K195" i="5"/>
  <c r="K442" i="5"/>
  <c r="K96" i="5"/>
  <c r="K361" i="5"/>
  <c r="K438" i="5"/>
  <c r="K322" i="5"/>
  <c r="K345" i="5"/>
  <c r="K125" i="5"/>
  <c r="K425" i="5"/>
  <c r="K95" i="5"/>
  <c r="K66" i="5"/>
  <c r="K405" i="5"/>
  <c r="K12" i="5"/>
  <c r="K302" i="5"/>
  <c r="K24" i="5"/>
  <c r="K114" i="5"/>
  <c r="K492" i="5"/>
  <c r="K5" i="5"/>
  <c r="K228" i="5"/>
  <c r="K236" i="5"/>
  <c r="K426" i="5"/>
  <c r="K210" i="5"/>
  <c r="K306" i="5"/>
  <c r="K349" i="5"/>
  <c r="K495" i="5"/>
  <c r="K350" i="5"/>
  <c r="K402" i="5"/>
  <c r="K172" i="5"/>
  <c r="K60" i="5"/>
  <c r="K325" i="5"/>
  <c r="K284" i="5"/>
  <c r="K347" i="5"/>
  <c r="K466" i="5"/>
  <c r="K484" i="5"/>
  <c r="K126" i="5"/>
  <c r="K31" i="5"/>
  <c r="K74" i="5"/>
  <c r="K93" i="5"/>
  <c r="K393" i="5"/>
  <c r="K166" i="5"/>
  <c r="K293" i="5"/>
  <c r="K490" i="5"/>
  <c r="K181" i="5"/>
  <c r="K85" i="5"/>
  <c r="K140" i="5"/>
  <c r="K132" i="5"/>
  <c r="K49" i="5"/>
  <c r="K439" i="5"/>
  <c r="K101" i="5"/>
  <c r="K416" i="5"/>
  <c r="K105" i="5"/>
  <c r="K212" i="5"/>
  <c r="K222" i="5"/>
  <c r="K275" i="5"/>
  <c r="K69" i="5"/>
  <c r="K201" i="5"/>
  <c r="K329" i="5"/>
  <c r="K422" i="5"/>
  <c r="K465" i="5"/>
  <c r="K283" i="5"/>
  <c r="K292" i="5"/>
  <c r="K221" i="5"/>
  <c r="K290" i="5"/>
  <c r="K272" i="5"/>
  <c r="K38" i="5"/>
  <c r="K17" i="5"/>
  <c r="K373" i="5"/>
  <c r="K206" i="5"/>
  <c r="K261" i="5"/>
  <c r="K481" i="5"/>
  <c r="K208" i="5"/>
  <c r="K135" i="5"/>
  <c r="K281" i="5"/>
  <c r="K335" i="5"/>
  <c r="K314" i="5"/>
  <c r="K313" i="5"/>
  <c r="K225" i="5"/>
  <c r="K112" i="5"/>
  <c r="K265" i="5"/>
  <c r="K318" i="5"/>
  <c r="K450" i="5"/>
  <c r="K321" i="5"/>
  <c r="K100" i="5"/>
  <c r="K136" i="5"/>
  <c r="K102" i="5"/>
  <c r="K493" i="5"/>
  <c r="K483" i="5"/>
  <c r="K219" i="5"/>
  <c r="K247" i="5"/>
  <c r="K412" i="5"/>
  <c r="K32" i="5"/>
  <c r="K7" i="5"/>
  <c r="K147" i="5"/>
  <c r="K406" i="5"/>
  <c r="K245" i="5"/>
  <c r="K270" i="5"/>
  <c r="K467" i="5"/>
  <c r="K266" i="5"/>
  <c r="K440" i="5"/>
  <c r="K317" i="5"/>
  <c r="K491" i="5"/>
  <c r="K389" i="5"/>
  <c r="K307" i="5"/>
  <c r="K418" i="5"/>
  <c r="K45" i="5"/>
  <c r="K80" i="5"/>
  <c r="K124" i="5"/>
  <c r="K6" i="5"/>
  <c r="K193" i="5"/>
  <c r="K81" i="5"/>
  <c r="K332" i="5"/>
  <c r="K333" i="5"/>
  <c r="K391" i="5"/>
  <c r="K16" i="5"/>
  <c r="K432" i="5"/>
  <c r="K202" i="5"/>
  <c r="K234" i="5"/>
  <c r="K478" i="5"/>
  <c r="K337" i="5"/>
  <c r="K339" i="5"/>
  <c r="K117" i="5"/>
  <c r="K141" i="5"/>
  <c r="K164" i="5"/>
  <c r="K273" i="5"/>
  <c r="K280" i="5"/>
  <c r="K327" i="5"/>
  <c r="K475" i="5"/>
  <c r="K28" i="5"/>
  <c r="K341" i="5"/>
  <c r="K448" i="5"/>
  <c r="K470" i="5"/>
  <c r="K428" i="5"/>
  <c r="K364" i="5"/>
  <c r="K323" i="5"/>
  <c r="K267" i="5"/>
  <c r="K8" i="5"/>
  <c r="K176" i="5"/>
  <c r="K399" i="5"/>
  <c r="K463" i="5"/>
  <c r="K123" i="5"/>
  <c r="K177" i="5"/>
  <c r="K433" i="5"/>
  <c r="K106" i="5"/>
  <c r="K29" i="5"/>
  <c r="K134" i="5"/>
  <c r="K48" i="5"/>
  <c r="K191" i="5"/>
  <c r="K110" i="5"/>
  <c r="K312" i="5"/>
  <c r="K175" i="5"/>
  <c r="K443" i="5"/>
  <c r="K216" i="5"/>
  <c r="K223" i="5"/>
  <c r="K476" i="5"/>
  <c r="K184" i="5"/>
  <c r="K447" i="5"/>
  <c r="K91" i="5"/>
  <c r="K107" i="5"/>
  <c r="K137" i="5"/>
  <c r="K121" i="5"/>
  <c r="K308" i="5"/>
  <c r="K120" i="5"/>
  <c r="K414" i="5"/>
  <c r="K445" i="5"/>
  <c r="K50" i="5"/>
  <c r="K59" i="5"/>
  <c r="K73" i="5"/>
  <c r="K25" i="5"/>
  <c r="K285" i="5"/>
  <c r="K42" i="5"/>
  <c r="K242" i="5"/>
  <c r="K381" i="5"/>
  <c r="K413" i="5"/>
  <c r="K430" i="5"/>
  <c r="K472" i="5"/>
  <c r="K47" i="5"/>
  <c r="K78" i="5"/>
  <c r="K160" i="5"/>
  <c r="K460" i="5"/>
  <c r="K33" i="5"/>
  <c r="K480" i="5"/>
  <c r="K75" i="5"/>
  <c r="K366" i="5"/>
  <c r="K133" i="5"/>
  <c r="K235" i="5"/>
  <c r="K185" i="5"/>
  <c r="K383" i="5"/>
  <c r="K189" i="5"/>
  <c r="K143" i="5"/>
  <c r="K489" i="5"/>
  <c r="K108" i="5"/>
  <c r="K159" i="5"/>
  <c r="K496" i="5"/>
  <c r="J456" i="5"/>
  <c r="J394" i="5"/>
  <c r="J374" i="5"/>
  <c r="J324" i="5"/>
  <c r="J158" i="5"/>
  <c r="J368" i="5"/>
  <c r="J356" i="5"/>
  <c r="J494" i="5"/>
  <c r="J199" i="5"/>
  <c r="J3" i="5"/>
  <c r="J259" i="5"/>
  <c r="J370" i="5"/>
  <c r="J500" i="5"/>
  <c r="J398" i="5"/>
  <c r="J282" i="5"/>
  <c r="J162" i="5"/>
  <c r="J288" i="5"/>
  <c r="J224" i="5"/>
  <c r="J254" i="5"/>
  <c r="J263" i="5"/>
  <c r="J231" i="5"/>
  <c r="J187" i="5"/>
  <c r="J87" i="5"/>
  <c r="J423" i="5"/>
  <c r="J404" i="5"/>
  <c r="J156" i="5"/>
  <c r="J303" i="5"/>
  <c r="J336" i="5"/>
  <c r="J198" i="5"/>
  <c r="J40" i="5"/>
  <c r="J82" i="5"/>
  <c r="J310" i="5"/>
  <c r="J311" i="5"/>
  <c r="J351" i="5"/>
  <c r="J14" i="5"/>
  <c r="J320" i="5"/>
  <c r="J169" i="5"/>
  <c r="J30" i="5"/>
  <c r="J130" i="5"/>
  <c r="J344" i="5"/>
  <c r="J243" i="5"/>
  <c r="J474" i="5"/>
  <c r="J179" i="5"/>
  <c r="J118" i="5"/>
  <c r="J486" i="5"/>
  <c r="J449" i="5"/>
  <c r="J194" i="5"/>
  <c r="J57" i="5"/>
  <c r="J9" i="5"/>
  <c r="J153" i="5"/>
  <c r="J180" i="5"/>
  <c r="J4" i="5"/>
  <c r="J452" i="5"/>
  <c r="J54" i="5"/>
  <c r="J256" i="5"/>
  <c r="J163" i="5"/>
  <c r="J396" i="5"/>
  <c r="J330" i="5"/>
  <c r="J407" i="5"/>
  <c r="J98" i="5"/>
  <c r="J237" i="5"/>
  <c r="J2" i="5"/>
  <c r="J274" i="5"/>
  <c r="J429" i="5"/>
  <c r="J365" i="5"/>
  <c r="J77" i="5"/>
  <c r="J240" i="5"/>
  <c r="J295" i="5"/>
  <c r="J326" i="5"/>
  <c r="J354" i="5"/>
  <c r="J173" i="5"/>
  <c r="J358" i="5"/>
  <c r="J131" i="5"/>
  <c r="J278" i="5"/>
  <c r="J468" i="5"/>
  <c r="J211" i="5"/>
  <c r="J269" i="5"/>
  <c r="J424" i="5"/>
  <c r="J27" i="5"/>
  <c r="J338" i="5"/>
  <c r="J11" i="5"/>
  <c r="J178" i="5"/>
  <c r="J139" i="5"/>
  <c r="J379" i="5"/>
  <c r="J44" i="5"/>
  <c r="J129" i="5"/>
  <c r="J150" i="5"/>
  <c r="J68" i="5"/>
  <c r="J58" i="5"/>
  <c r="J154" i="5"/>
  <c r="J462" i="5"/>
  <c r="J239" i="5"/>
  <c r="J103" i="5"/>
  <c r="J353" i="5"/>
  <c r="J67" i="5"/>
  <c r="J76" i="5"/>
  <c r="J51" i="5"/>
  <c r="J387" i="5"/>
  <c r="J251" i="5"/>
  <c r="J299" i="5"/>
  <c r="J214" i="5"/>
  <c r="J226" i="5"/>
  <c r="J355" i="5"/>
  <c r="J97" i="5"/>
  <c r="J39" i="5"/>
  <c r="J148" i="5"/>
  <c r="J305" i="5"/>
  <c r="J253" i="5"/>
  <c r="J382" i="5"/>
  <c r="J300" i="5"/>
  <c r="J271" i="5"/>
  <c r="J441" i="5"/>
  <c r="J72" i="5"/>
  <c r="J501" i="5"/>
  <c r="J52" i="5"/>
  <c r="J369" i="5"/>
  <c r="J420" i="5"/>
  <c r="J65" i="5"/>
  <c r="J434" i="5"/>
  <c r="J453" i="5"/>
  <c r="J400" i="5"/>
  <c r="J182" i="5"/>
  <c r="J165" i="5"/>
  <c r="J204" i="5"/>
  <c r="J346" i="5"/>
  <c r="J487" i="5"/>
  <c r="J246" i="5"/>
  <c r="J218" i="5"/>
  <c r="J352" i="5"/>
  <c r="J371" i="5"/>
  <c r="J279" i="5"/>
  <c r="J458" i="5"/>
  <c r="J286" i="5"/>
  <c r="J298" i="5"/>
  <c r="J157" i="5"/>
  <c r="J260" i="5"/>
  <c r="J92" i="5"/>
  <c r="J34" i="5"/>
  <c r="J109" i="5"/>
  <c r="J232" i="5"/>
  <c r="J257" i="5"/>
  <c r="J294" i="5"/>
  <c r="J360" i="5"/>
  <c r="J401" i="5"/>
  <c r="J498" i="5"/>
  <c r="J146" i="5"/>
  <c r="J375" i="5"/>
  <c r="J71" i="5"/>
  <c r="J249" i="5"/>
  <c r="J289" i="5"/>
  <c r="J343" i="5"/>
  <c r="J248" i="5"/>
  <c r="J37" i="5"/>
  <c r="J227" i="5"/>
  <c r="J482" i="5"/>
  <c r="J26" i="5"/>
  <c r="J203" i="5"/>
  <c r="J94" i="5"/>
  <c r="J197" i="5"/>
  <c r="J207" i="5"/>
  <c r="J111" i="5"/>
  <c r="J70" i="5"/>
  <c r="J258" i="5"/>
  <c r="J186" i="5"/>
  <c r="J331" i="5"/>
  <c r="J454" i="5"/>
  <c r="J471" i="5"/>
  <c r="J192" i="5"/>
  <c r="J384" i="5"/>
  <c r="J380" i="5"/>
  <c r="J455" i="5"/>
  <c r="J479" i="5"/>
  <c r="J188" i="5"/>
  <c r="J83" i="5"/>
  <c r="J363" i="5"/>
  <c r="J151" i="5"/>
  <c r="J229" i="5"/>
  <c r="J23" i="5"/>
  <c r="J152" i="5"/>
  <c r="J86" i="5"/>
  <c r="J411" i="5"/>
  <c r="J436" i="5"/>
  <c r="J99" i="5"/>
  <c r="J367" i="5"/>
  <c r="J233" i="5"/>
  <c r="J144" i="5"/>
  <c r="J287" i="5"/>
  <c r="J376" i="5"/>
  <c r="J499" i="5"/>
  <c r="J15" i="5"/>
  <c r="J127" i="5"/>
  <c r="J451" i="5"/>
  <c r="J10" i="5"/>
  <c r="J142" i="5"/>
  <c r="J357" i="5"/>
  <c r="J90" i="5"/>
  <c r="J340" i="5"/>
  <c r="J291" i="5"/>
  <c r="J215" i="5"/>
  <c r="J119" i="5"/>
  <c r="J315" i="5"/>
  <c r="J304" i="5"/>
  <c r="J497" i="5"/>
  <c r="J55" i="5"/>
  <c r="J477" i="5"/>
  <c r="J362" i="5"/>
  <c r="J255" i="5"/>
  <c r="J43" i="5"/>
  <c r="J84" i="5"/>
  <c r="J417" i="5"/>
  <c r="J435" i="5"/>
  <c r="J457" i="5"/>
  <c r="J220" i="5"/>
  <c r="J116" i="5"/>
  <c r="J334" i="5"/>
  <c r="J415" i="5"/>
  <c r="J56" i="5"/>
  <c r="J217" i="5"/>
  <c r="J35" i="5"/>
  <c r="J296" i="5"/>
  <c r="J88" i="5"/>
  <c r="J63" i="5"/>
  <c r="J36" i="5"/>
  <c r="J461" i="5"/>
  <c r="J446" i="5"/>
  <c r="J171" i="5"/>
  <c r="J145" i="5"/>
  <c r="J19" i="5"/>
  <c r="J359" i="5"/>
  <c r="J170" i="5"/>
  <c r="J20" i="5"/>
  <c r="J89" i="5"/>
  <c r="J230" i="5"/>
  <c r="J437" i="5"/>
  <c r="J115" i="5"/>
  <c r="J390" i="5"/>
  <c r="J250" i="5"/>
  <c r="J252" i="5"/>
  <c r="J183" i="5"/>
  <c r="J22" i="5"/>
  <c r="J397" i="5"/>
  <c r="J79" i="5"/>
  <c r="J128" i="5"/>
  <c r="J419" i="5"/>
  <c r="J161" i="5"/>
  <c r="J205" i="5"/>
  <c r="J155" i="5"/>
  <c r="J421" i="5"/>
  <c r="J41" i="5"/>
  <c r="J190" i="5"/>
  <c r="J473" i="5"/>
  <c r="J408" i="5"/>
  <c r="J488" i="5"/>
  <c r="J18" i="5"/>
  <c r="J385" i="5"/>
  <c r="J168" i="5"/>
  <c r="J388" i="5"/>
  <c r="J241" i="5"/>
  <c r="J64" i="5"/>
  <c r="J431" i="5"/>
  <c r="J348" i="5"/>
  <c r="J297" i="5"/>
  <c r="J410" i="5"/>
  <c r="J277" i="5"/>
  <c r="J316" i="5"/>
  <c r="J196" i="5"/>
  <c r="J403" i="5"/>
  <c r="J46" i="5"/>
  <c r="J238" i="5"/>
  <c r="J13" i="5"/>
  <c r="J213" i="5"/>
  <c r="J244" i="5"/>
  <c r="J427" i="5"/>
  <c r="J174" i="5"/>
  <c r="J276" i="5"/>
  <c r="J61" i="5"/>
  <c r="J319" i="5"/>
  <c r="J372" i="5"/>
  <c r="J464" i="5"/>
  <c r="J268" i="5"/>
  <c r="J104" i="5"/>
  <c r="J62" i="5"/>
  <c r="J149" i="5"/>
  <c r="J167" i="5"/>
  <c r="J262" i="5"/>
  <c r="J459" i="5"/>
  <c r="J209" i="5"/>
  <c r="J301" i="5"/>
  <c r="J485" i="5"/>
  <c r="J53" i="5"/>
  <c r="J409" i="5"/>
  <c r="J200" i="5"/>
  <c r="J328" i="5"/>
  <c r="J386" i="5"/>
  <c r="J395" i="5"/>
  <c r="J21" i="5"/>
  <c r="J113" i="5"/>
  <c r="J377" i="5"/>
  <c r="J469" i="5"/>
  <c r="J122" i="5"/>
  <c r="J264" i="5"/>
  <c r="J392" i="5"/>
  <c r="J138" i="5"/>
  <c r="J444" i="5"/>
  <c r="J378" i="5"/>
  <c r="J309" i="5"/>
  <c r="J342" i="5"/>
  <c r="J195" i="5"/>
  <c r="J442" i="5"/>
  <c r="J96" i="5"/>
  <c r="J361" i="5"/>
  <c r="J438" i="5"/>
  <c r="J322" i="5"/>
  <c r="J345" i="5"/>
  <c r="J125" i="5"/>
  <c r="J425" i="5"/>
  <c r="J95" i="5"/>
  <c r="J66" i="5"/>
  <c r="J405" i="5"/>
  <c r="J12" i="5"/>
  <c r="J302" i="5"/>
  <c r="J24" i="5"/>
  <c r="J114" i="5"/>
  <c r="J492" i="5"/>
  <c r="J5" i="5"/>
  <c r="J228" i="5"/>
  <c r="J236" i="5"/>
  <c r="J426" i="5"/>
  <c r="J210" i="5"/>
  <c r="J306" i="5"/>
  <c r="J349" i="5"/>
  <c r="J495" i="5"/>
  <c r="J350" i="5"/>
  <c r="J402" i="5"/>
  <c r="J172" i="5"/>
  <c r="J60" i="5"/>
  <c r="J325" i="5"/>
  <c r="J284" i="5"/>
  <c r="J347" i="5"/>
  <c r="J466" i="5"/>
  <c r="J484" i="5"/>
  <c r="J126" i="5"/>
  <c r="J31" i="5"/>
  <c r="J74" i="5"/>
  <c r="J93" i="5"/>
  <c r="J393" i="5"/>
  <c r="J166" i="5"/>
  <c r="J293" i="5"/>
  <c r="J490" i="5"/>
  <c r="J181" i="5"/>
  <c r="J85" i="5"/>
  <c r="J140" i="5"/>
  <c r="J132" i="5"/>
  <c r="J49" i="5"/>
  <c r="J439" i="5"/>
  <c r="J101" i="5"/>
  <c r="J416" i="5"/>
  <c r="J105" i="5"/>
  <c r="J212" i="5"/>
  <c r="J222" i="5"/>
  <c r="J275" i="5"/>
  <c r="J69" i="5"/>
  <c r="J201" i="5"/>
  <c r="J329" i="5"/>
  <c r="J422" i="5"/>
  <c r="J465" i="5"/>
  <c r="J283" i="5"/>
  <c r="J292" i="5"/>
  <c r="J221" i="5"/>
  <c r="J290" i="5"/>
  <c r="J272" i="5"/>
  <c r="J38" i="5"/>
  <c r="J17" i="5"/>
  <c r="J373" i="5"/>
  <c r="J206" i="5"/>
  <c r="J261" i="5"/>
  <c r="J481" i="5"/>
  <c r="J208" i="5"/>
  <c r="J135" i="5"/>
  <c r="J281" i="5"/>
  <c r="J335" i="5"/>
  <c r="J314" i="5"/>
  <c r="J313" i="5"/>
  <c r="J225" i="5"/>
  <c r="J112" i="5"/>
  <c r="J265" i="5"/>
  <c r="J318" i="5"/>
  <c r="J450" i="5"/>
  <c r="J321" i="5"/>
  <c r="J100" i="5"/>
  <c r="J136" i="5"/>
  <c r="J102" i="5"/>
  <c r="J493" i="5"/>
  <c r="J483" i="5"/>
  <c r="J219" i="5"/>
  <c r="J247" i="5"/>
  <c r="J412" i="5"/>
  <c r="J32" i="5"/>
  <c r="J7" i="5"/>
  <c r="J147" i="5"/>
  <c r="J406" i="5"/>
  <c r="J245" i="5"/>
  <c r="J270" i="5"/>
  <c r="J467" i="5"/>
  <c r="J266" i="5"/>
  <c r="J440" i="5"/>
  <c r="J317" i="5"/>
  <c r="J491" i="5"/>
  <c r="J389" i="5"/>
  <c r="J307" i="5"/>
  <c r="J418" i="5"/>
  <c r="J45" i="5"/>
  <c r="J80" i="5"/>
  <c r="J124" i="5"/>
  <c r="J6" i="5"/>
  <c r="J193" i="5"/>
  <c r="J81" i="5"/>
  <c r="J332" i="5"/>
  <c r="J333" i="5"/>
  <c r="J391" i="5"/>
  <c r="J16" i="5"/>
  <c r="J432" i="5"/>
  <c r="J202" i="5"/>
  <c r="J234" i="5"/>
  <c r="J478" i="5"/>
  <c r="J337" i="5"/>
  <c r="J339" i="5"/>
  <c r="J117" i="5"/>
  <c r="J141" i="5"/>
  <c r="J164" i="5"/>
  <c r="J273" i="5"/>
  <c r="J280" i="5"/>
  <c r="J327" i="5"/>
  <c r="J475" i="5"/>
  <c r="J28" i="5"/>
  <c r="J341" i="5"/>
  <c r="J448" i="5"/>
  <c r="J470" i="5"/>
  <c r="J428" i="5"/>
  <c r="J364" i="5"/>
  <c r="J323" i="5"/>
  <c r="J267" i="5"/>
  <c r="J8" i="5"/>
  <c r="J176" i="5"/>
  <c r="J399" i="5"/>
  <c r="J463" i="5"/>
  <c r="J123" i="5"/>
  <c r="J177" i="5"/>
  <c r="J433" i="5"/>
  <c r="J106" i="5"/>
  <c r="J29" i="5"/>
  <c r="J134" i="5"/>
  <c r="J48" i="5"/>
  <c r="J191" i="5"/>
  <c r="J110" i="5"/>
  <c r="J312" i="5"/>
  <c r="J175" i="5"/>
  <c r="J443" i="5"/>
  <c r="J216" i="5"/>
  <c r="J223" i="5"/>
  <c r="J476" i="5"/>
  <c r="J184" i="5"/>
  <c r="J447" i="5"/>
  <c r="J91" i="5"/>
  <c r="J107" i="5"/>
  <c r="J137" i="5"/>
  <c r="J121" i="5"/>
  <c r="J308" i="5"/>
  <c r="J120" i="5"/>
  <c r="J414" i="5"/>
  <c r="J445" i="5"/>
  <c r="J50" i="5"/>
  <c r="J59" i="5"/>
  <c r="J73" i="5"/>
  <c r="J25" i="5"/>
  <c r="J285" i="5"/>
  <c r="J42" i="5"/>
  <c r="J242" i="5"/>
  <c r="J381" i="5"/>
  <c r="J413" i="5"/>
  <c r="J430" i="5"/>
  <c r="J472" i="5"/>
  <c r="J47" i="5"/>
  <c r="J78" i="5"/>
  <c r="J160" i="5"/>
  <c r="J460" i="5"/>
  <c r="J33" i="5"/>
  <c r="J480" i="5"/>
  <c r="J75" i="5"/>
  <c r="J366" i="5"/>
  <c r="J133" i="5"/>
  <c r="J235" i="5"/>
  <c r="J185" i="5"/>
  <c r="J383" i="5"/>
  <c r="J189" i="5"/>
  <c r="J143" i="5"/>
  <c r="J489" i="5"/>
  <c r="J108" i="5"/>
  <c r="J159" i="5"/>
  <c r="J496" i="5"/>
  <c r="I456" i="5"/>
  <c r="I394" i="5"/>
  <c r="I374" i="5"/>
  <c r="I324" i="5"/>
  <c r="I158" i="5"/>
  <c r="I368" i="5"/>
  <c r="I356" i="5"/>
  <c r="I494" i="5"/>
  <c r="I199" i="5"/>
  <c r="I3" i="5"/>
  <c r="I259" i="5"/>
  <c r="I370" i="5"/>
  <c r="I500" i="5"/>
  <c r="I398" i="5"/>
  <c r="I282" i="5"/>
  <c r="I162" i="5"/>
  <c r="I288" i="5"/>
  <c r="I224" i="5"/>
  <c r="I254" i="5"/>
  <c r="I263" i="5"/>
  <c r="I231" i="5"/>
  <c r="I187" i="5"/>
  <c r="I87" i="5"/>
  <c r="I423" i="5"/>
  <c r="I404" i="5"/>
  <c r="I156" i="5"/>
  <c r="I303" i="5"/>
  <c r="I336" i="5"/>
  <c r="I198" i="5"/>
  <c r="I40" i="5"/>
  <c r="I82" i="5"/>
  <c r="I310" i="5"/>
  <c r="I311" i="5"/>
  <c r="I351" i="5"/>
  <c r="I14" i="5"/>
  <c r="I320" i="5"/>
  <c r="I169" i="5"/>
  <c r="I30" i="5"/>
  <c r="I130" i="5"/>
  <c r="I344" i="5"/>
  <c r="I243" i="5"/>
  <c r="I474" i="5"/>
  <c r="I179" i="5"/>
  <c r="I118" i="5"/>
  <c r="I486" i="5"/>
  <c r="I449" i="5"/>
  <c r="I194" i="5"/>
  <c r="I57" i="5"/>
  <c r="I9" i="5"/>
  <c r="I153" i="5"/>
  <c r="I180" i="5"/>
  <c r="I4" i="5"/>
  <c r="I452" i="5"/>
  <c r="I54" i="5"/>
  <c r="I256" i="5"/>
  <c r="I163" i="5"/>
  <c r="I396" i="5"/>
  <c r="I330" i="5"/>
  <c r="I407" i="5"/>
  <c r="I98" i="5"/>
  <c r="I237" i="5"/>
  <c r="I2" i="5"/>
  <c r="I274" i="5"/>
  <c r="I429" i="5"/>
  <c r="I365" i="5"/>
  <c r="I77" i="5"/>
  <c r="I240" i="5"/>
  <c r="I295" i="5"/>
  <c r="I326" i="5"/>
  <c r="I354" i="5"/>
  <c r="I173" i="5"/>
  <c r="I358" i="5"/>
  <c r="I131" i="5"/>
  <c r="I278" i="5"/>
  <c r="I468" i="5"/>
  <c r="I211" i="5"/>
  <c r="I269" i="5"/>
  <c r="I424" i="5"/>
  <c r="I27" i="5"/>
  <c r="I338" i="5"/>
  <c r="I11" i="5"/>
  <c r="I178" i="5"/>
  <c r="I139" i="5"/>
  <c r="I379" i="5"/>
  <c r="I44" i="5"/>
  <c r="I129" i="5"/>
  <c r="I150" i="5"/>
  <c r="I68" i="5"/>
  <c r="I58" i="5"/>
  <c r="I154" i="5"/>
  <c r="I462" i="5"/>
  <c r="I239" i="5"/>
  <c r="I103" i="5"/>
  <c r="I353" i="5"/>
  <c r="I67" i="5"/>
  <c r="I76" i="5"/>
  <c r="I51" i="5"/>
  <c r="I387" i="5"/>
  <c r="I251" i="5"/>
  <c r="I299" i="5"/>
  <c r="I214" i="5"/>
  <c r="I226" i="5"/>
  <c r="I355" i="5"/>
  <c r="I97" i="5"/>
  <c r="I39" i="5"/>
  <c r="I148" i="5"/>
  <c r="I305" i="5"/>
  <c r="I253" i="5"/>
  <c r="I382" i="5"/>
  <c r="I300" i="5"/>
  <c r="I271" i="5"/>
  <c r="I441" i="5"/>
  <c r="I72" i="5"/>
  <c r="I501" i="5"/>
  <c r="I52" i="5"/>
  <c r="I369" i="5"/>
  <c r="I420" i="5"/>
  <c r="I65" i="5"/>
  <c r="I434" i="5"/>
  <c r="I453" i="5"/>
  <c r="I400" i="5"/>
  <c r="I182" i="5"/>
  <c r="I165" i="5"/>
  <c r="I204" i="5"/>
  <c r="I346" i="5"/>
  <c r="I487" i="5"/>
  <c r="I246" i="5"/>
  <c r="I218" i="5"/>
  <c r="I352" i="5"/>
  <c r="I371" i="5"/>
  <c r="I279" i="5"/>
  <c r="I458" i="5"/>
  <c r="I286" i="5"/>
  <c r="I298" i="5"/>
  <c r="I157" i="5"/>
  <c r="I260" i="5"/>
  <c r="I92" i="5"/>
  <c r="I34" i="5"/>
  <c r="I109" i="5"/>
  <c r="I232" i="5"/>
  <c r="I257" i="5"/>
  <c r="I294" i="5"/>
  <c r="I360" i="5"/>
  <c r="I401" i="5"/>
  <c r="I498" i="5"/>
  <c r="I146" i="5"/>
  <c r="I375" i="5"/>
  <c r="I71" i="5"/>
  <c r="I249" i="5"/>
  <c r="I289" i="5"/>
  <c r="I343" i="5"/>
  <c r="I248" i="5"/>
  <c r="I37" i="5"/>
  <c r="I227" i="5"/>
  <c r="I482" i="5"/>
  <c r="I26" i="5"/>
  <c r="I203" i="5"/>
  <c r="I94" i="5"/>
  <c r="I197" i="5"/>
  <c r="I207" i="5"/>
  <c r="I111" i="5"/>
  <c r="I70" i="5"/>
  <c r="I258" i="5"/>
  <c r="I186" i="5"/>
  <c r="I331" i="5"/>
  <c r="I454" i="5"/>
  <c r="I471" i="5"/>
  <c r="I192" i="5"/>
  <c r="I384" i="5"/>
  <c r="I380" i="5"/>
  <c r="I455" i="5"/>
  <c r="I479" i="5"/>
  <c r="I188" i="5"/>
  <c r="I83" i="5"/>
  <c r="I363" i="5"/>
  <c r="I151" i="5"/>
  <c r="I229" i="5"/>
  <c r="I23" i="5"/>
  <c r="I152" i="5"/>
  <c r="I86" i="5"/>
  <c r="I411" i="5"/>
  <c r="I436" i="5"/>
  <c r="I99" i="5"/>
  <c r="I367" i="5"/>
  <c r="I233" i="5"/>
  <c r="I144" i="5"/>
  <c r="I287" i="5"/>
  <c r="I376" i="5"/>
  <c r="I499" i="5"/>
  <c r="I15" i="5"/>
  <c r="I127" i="5"/>
  <c r="I451" i="5"/>
  <c r="I10" i="5"/>
  <c r="I142" i="5"/>
  <c r="I357" i="5"/>
  <c r="I90" i="5"/>
  <c r="I340" i="5"/>
  <c r="I291" i="5"/>
  <c r="I215" i="5"/>
  <c r="I119" i="5"/>
  <c r="I315" i="5"/>
  <c r="I304" i="5"/>
  <c r="I497" i="5"/>
  <c r="I55" i="5"/>
  <c r="I477" i="5"/>
  <c r="I362" i="5"/>
  <c r="I255" i="5"/>
  <c r="I43" i="5"/>
  <c r="I84" i="5"/>
  <c r="I417" i="5"/>
  <c r="I435" i="5"/>
  <c r="I457" i="5"/>
  <c r="I220" i="5"/>
  <c r="I116" i="5"/>
  <c r="I334" i="5"/>
  <c r="I415" i="5"/>
  <c r="I56" i="5"/>
  <c r="I217" i="5"/>
  <c r="I35" i="5"/>
  <c r="I296" i="5"/>
  <c r="I88" i="5"/>
  <c r="I63" i="5"/>
  <c r="I36" i="5"/>
  <c r="I461" i="5"/>
  <c r="I446" i="5"/>
  <c r="I171" i="5"/>
  <c r="I145" i="5"/>
  <c r="I19" i="5"/>
  <c r="I359" i="5"/>
  <c r="I170" i="5"/>
  <c r="I20" i="5"/>
  <c r="I89" i="5"/>
  <c r="I230" i="5"/>
  <c r="I437" i="5"/>
  <c r="I115" i="5"/>
  <c r="I390" i="5"/>
  <c r="I250" i="5"/>
  <c r="I252" i="5"/>
  <c r="I183" i="5"/>
  <c r="I22" i="5"/>
  <c r="I397" i="5"/>
  <c r="I79" i="5"/>
  <c r="I128" i="5"/>
  <c r="I419" i="5"/>
  <c r="I161" i="5"/>
  <c r="I205" i="5"/>
  <c r="I155" i="5"/>
  <c r="I421" i="5"/>
  <c r="I41" i="5"/>
  <c r="I190" i="5"/>
  <c r="I473" i="5"/>
  <c r="I408" i="5"/>
  <c r="I488" i="5"/>
  <c r="I18" i="5"/>
  <c r="I385" i="5"/>
  <c r="I168" i="5"/>
  <c r="I388" i="5"/>
  <c r="I241" i="5"/>
  <c r="I64" i="5"/>
  <c r="I431" i="5"/>
  <c r="I348" i="5"/>
  <c r="I297" i="5"/>
  <c r="I410" i="5"/>
  <c r="I277" i="5"/>
  <c r="I316" i="5"/>
  <c r="I196" i="5"/>
  <c r="I403" i="5"/>
  <c r="I46" i="5"/>
  <c r="I238" i="5"/>
  <c r="I13" i="5"/>
  <c r="I213" i="5"/>
  <c r="I244" i="5"/>
  <c r="I427" i="5"/>
  <c r="I174" i="5"/>
  <c r="I276" i="5"/>
  <c r="I61" i="5"/>
  <c r="I319" i="5"/>
  <c r="I372" i="5"/>
  <c r="I464" i="5"/>
  <c r="I268" i="5"/>
  <c r="I104" i="5"/>
  <c r="I62" i="5"/>
  <c r="I149" i="5"/>
  <c r="I167" i="5"/>
  <c r="I262" i="5"/>
  <c r="I459" i="5"/>
  <c r="I209" i="5"/>
  <c r="I301" i="5"/>
  <c r="I485" i="5"/>
  <c r="I53" i="5"/>
  <c r="I409" i="5"/>
  <c r="I200" i="5"/>
  <c r="I328" i="5"/>
  <c r="I386" i="5"/>
  <c r="I395" i="5"/>
  <c r="I21" i="5"/>
  <c r="I113" i="5"/>
  <c r="I377" i="5"/>
  <c r="I469" i="5"/>
  <c r="I122" i="5"/>
  <c r="I264" i="5"/>
  <c r="I392" i="5"/>
  <c r="I138" i="5"/>
  <c r="I444" i="5"/>
  <c r="I378" i="5"/>
  <c r="I309" i="5"/>
  <c r="I342" i="5"/>
  <c r="I195" i="5"/>
  <c r="I442" i="5"/>
  <c r="I96" i="5"/>
  <c r="I361" i="5"/>
  <c r="I438" i="5"/>
  <c r="I322" i="5"/>
  <c r="I345" i="5"/>
  <c r="I125" i="5"/>
  <c r="I425" i="5"/>
  <c r="I95" i="5"/>
  <c r="I66" i="5"/>
  <c r="I405" i="5"/>
  <c r="I12" i="5"/>
  <c r="I302" i="5"/>
  <c r="I24" i="5"/>
  <c r="I114" i="5"/>
  <c r="I492" i="5"/>
  <c r="I5" i="5"/>
  <c r="I228" i="5"/>
  <c r="I236" i="5"/>
  <c r="I426" i="5"/>
  <c r="I210" i="5"/>
  <c r="I306" i="5"/>
  <c r="I349" i="5"/>
  <c r="I495" i="5"/>
  <c r="I350" i="5"/>
  <c r="I402" i="5"/>
  <c r="I172" i="5"/>
  <c r="I60" i="5"/>
  <c r="I325" i="5"/>
  <c r="I284" i="5"/>
  <c r="I347" i="5"/>
  <c r="I466" i="5"/>
  <c r="I484" i="5"/>
  <c r="I126" i="5"/>
  <c r="I31" i="5"/>
  <c r="I74" i="5"/>
  <c r="I93" i="5"/>
  <c r="I393" i="5"/>
  <c r="I166" i="5"/>
  <c r="I293" i="5"/>
  <c r="I490" i="5"/>
  <c r="I181" i="5"/>
  <c r="I85" i="5"/>
  <c r="I140" i="5"/>
  <c r="I132" i="5"/>
  <c r="I49" i="5"/>
  <c r="I439" i="5"/>
  <c r="I101" i="5"/>
  <c r="I416" i="5"/>
  <c r="I105" i="5"/>
  <c r="I212" i="5"/>
  <c r="I222" i="5"/>
  <c r="I275" i="5"/>
  <c r="I69" i="5"/>
  <c r="I201" i="5"/>
  <c r="I329" i="5"/>
  <c r="I422" i="5"/>
  <c r="I465" i="5"/>
  <c r="I283" i="5"/>
  <c r="I292" i="5"/>
  <c r="I221" i="5"/>
  <c r="I290" i="5"/>
  <c r="I272" i="5"/>
  <c r="I38" i="5"/>
  <c r="I17" i="5"/>
  <c r="I373" i="5"/>
  <c r="I206" i="5"/>
  <c r="I261" i="5"/>
  <c r="I481" i="5"/>
  <c r="I208" i="5"/>
  <c r="I135" i="5"/>
  <c r="I281" i="5"/>
  <c r="I335" i="5"/>
  <c r="I314" i="5"/>
  <c r="I313" i="5"/>
  <c r="I225" i="5"/>
  <c r="I112" i="5"/>
  <c r="I265" i="5"/>
  <c r="I318" i="5"/>
  <c r="I450" i="5"/>
  <c r="I321" i="5"/>
  <c r="I100" i="5"/>
  <c r="I136" i="5"/>
  <c r="I102" i="5"/>
  <c r="I493" i="5"/>
  <c r="I483" i="5"/>
  <c r="I219" i="5"/>
  <c r="I247" i="5"/>
  <c r="I412" i="5"/>
  <c r="I32" i="5"/>
  <c r="I7" i="5"/>
  <c r="I147" i="5"/>
  <c r="I406" i="5"/>
  <c r="I245" i="5"/>
  <c r="I270" i="5"/>
  <c r="I467" i="5"/>
  <c r="I266" i="5"/>
  <c r="I440" i="5"/>
  <c r="I317" i="5"/>
  <c r="I491" i="5"/>
  <c r="I389" i="5"/>
  <c r="I307" i="5"/>
  <c r="I418" i="5"/>
  <c r="I45" i="5"/>
  <c r="I80" i="5"/>
  <c r="I124" i="5"/>
  <c r="I6" i="5"/>
  <c r="I193" i="5"/>
  <c r="I81" i="5"/>
  <c r="I332" i="5"/>
  <c r="I333" i="5"/>
  <c r="I391" i="5"/>
  <c r="I16" i="5"/>
  <c r="I432" i="5"/>
  <c r="I202" i="5"/>
  <c r="I234" i="5"/>
  <c r="I478" i="5"/>
  <c r="I337" i="5"/>
  <c r="I339" i="5"/>
  <c r="I117" i="5"/>
  <c r="I141" i="5"/>
  <c r="I164" i="5"/>
  <c r="I273" i="5"/>
  <c r="I280" i="5"/>
  <c r="I327" i="5"/>
  <c r="I475" i="5"/>
  <c r="I28" i="5"/>
  <c r="I341" i="5"/>
  <c r="I448" i="5"/>
  <c r="I470" i="5"/>
  <c r="I428" i="5"/>
  <c r="I364" i="5"/>
  <c r="I323" i="5"/>
  <c r="I267" i="5"/>
  <c r="I8" i="5"/>
  <c r="I176" i="5"/>
  <c r="I399" i="5"/>
  <c r="I463" i="5"/>
  <c r="I123" i="5"/>
  <c r="I177" i="5"/>
  <c r="I433" i="5"/>
  <c r="I106" i="5"/>
  <c r="I29" i="5"/>
  <c r="I134" i="5"/>
  <c r="I48" i="5"/>
  <c r="I191" i="5"/>
  <c r="I110" i="5"/>
  <c r="I312" i="5"/>
  <c r="I175" i="5"/>
  <c r="I443" i="5"/>
  <c r="I216" i="5"/>
  <c r="I223" i="5"/>
  <c r="I476" i="5"/>
  <c r="I184" i="5"/>
  <c r="I447" i="5"/>
  <c r="I91" i="5"/>
  <c r="I107" i="5"/>
  <c r="I137" i="5"/>
  <c r="I121" i="5"/>
  <c r="I308" i="5"/>
  <c r="I120" i="5"/>
  <c r="I414" i="5"/>
  <c r="I445" i="5"/>
  <c r="I50" i="5"/>
  <c r="I59" i="5"/>
  <c r="I73" i="5"/>
  <c r="I25" i="5"/>
  <c r="I285" i="5"/>
  <c r="I42" i="5"/>
  <c r="I242" i="5"/>
  <c r="I381" i="5"/>
  <c r="I413" i="5"/>
  <c r="I430" i="5"/>
  <c r="I472" i="5"/>
  <c r="I47" i="5"/>
  <c r="I78" i="5"/>
  <c r="I160" i="5"/>
  <c r="I460" i="5"/>
  <c r="I33" i="5"/>
  <c r="I480" i="5"/>
  <c r="I75" i="5"/>
  <c r="I366" i="5"/>
  <c r="I133" i="5"/>
  <c r="I235" i="5"/>
  <c r="I185" i="5"/>
  <c r="I383" i="5"/>
  <c r="I189" i="5"/>
  <c r="I143" i="5"/>
  <c r="I489" i="5"/>
  <c r="I108" i="5"/>
  <c r="I159" i="5"/>
  <c r="I496" i="5"/>
  <c r="H456" i="5"/>
  <c r="H394" i="5"/>
  <c r="H374" i="5"/>
  <c r="H324" i="5"/>
  <c r="H158" i="5"/>
  <c r="H368" i="5"/>
  <c r="H356" i="5"/>
  <c r="H494" i="5"/>
  <c r="H199" i="5"/>
  <c r="H3" i="5"/>
  <c r="H259" i="5"/>
  <c r="H370" i="5"/>
  <c r="H500" i="5"/>
  <c r="H398" i="5"/>
  <c r="H282" i="5"/>
  <c r="H162" i="5"/>
  <c r="H288" i="5"/>
  <c r="H224" i="5"/>
  <c r="H254" i="5"/>
  <c r="H263" i="5"/>
  <c r="H231" i="5"/>
  <c r="H187" i="5"/>
  <c r="H87" i="5"/>
  <c r="H423" i="5"/>
  <c r="H404" i="5"/>
  <c r="H156" i="5"/>
  <c r="H303" i="5"/>
  <c r="H336" i="5"/>
  <c r="H198" i="5"/>
  <c r="H40" i="5"/>
  <c r="H82" i="5"/>
  <c r="H310" i="5"/>
  <c r="H311" i="5"/>
  <c r="H351" i="5"/>
  <c r="H14" i="5"/>
  <c r="H320" i="5"/>
  <c r="H169" i="5"/>
  <c r="H30" i="5"/>
  <c r="H130" i="5"/>
  <c r="H344" i="5"/>
  <c r="H243" i="5"/>
  <c r="H474" i="5"/>
  <c r="H179" i="5"/>
  <c r="H118" i="5"/>
  <c r="H486" i="5"/>
  <c r="H449" i="5"/>
  <c r="H194" i="5"/>
  <c r="H57" i="5"/>
  <c r="H9" i="5"/>
  <c r="H153" i="5"/>
  <c r="H180" i="5"/>
  <c r="H4" i="5"/>
  <c r="H452" i="5"/>
  <c r="H54" i="5"/>
  <c r="H256" i="5"/>
  <c r="H163" i="5"/>
  <c r="H396" i="5"/>
  <c r="H330" i="5"/>
  <c r="H407" i="5"/>
  <c r="H98" i="5"/>
  <c r="H237" i="5"/>
  <c r="H2" i="5"/>
  <c r="H274" i="5"/>
  <c r="H429" i="5"/>
  <c r="H365" i="5"/>
  <c r="H77" i="5"/>
  <c r="H240" i="5"/>
  <c r="H295" i="5"/>
  <c r="H326" i="5"/>
  <c r="H354" i="5"/>
  <c r="H173" i="5"/>
  <c r="H358" i="5"/>
  <c r="H131" i="5"/>
  <c r="H278" i="5"/>
  <c r="H468" i="5"/>
  <c r="H211" i="5"/>
  <c r="H269" i="5"/>
  <c r="H424" i="5"/>
  <c r="H27" i="5"/>
  <c r="H338" i="5"/>
  <c r="H11" i="5"/>
  <c r="H178" i="5"/>
  <c r="H139" i="5"/>
  <c r="H379" i="5"/>
  <c r="H44" i="5"/>
  <c r="H129" i="5"/>
  <c r="H150" i="5"/>
  <c r="H68" i="5"/>
  <c r="H58" i="5"/>
  <c r="H154" i="5"/>
  <c r="H462" i="5"/>
  <c r="H239" i="5"/>
  <c r="H103" i="5"/>
  <c r="H353" i="5"/>
  <c r="H67" i="5"/>
  <c r="H76" i="5"/>
  <c r="H51" i="5"/>
  <c r="H387" i="5"/>
  <c r="H251" i="5"/>
  <c r="H299" i="5"/>
  <c r="H214" i="5"/>
  <c r="H226" i="5"/>
  <c r="H355" i="5"/>
  <c r="H97" i="5"/>
  <c r="H39" i="5"/>
  <c r="H148" i="5"/>
  <c r="H305" i="5"/>
  <c r="H253" i="5"/>
  <c r="H382" i="5"/>
  <c r="H300" i="5"/>
  <c r="H271" i="5"/>
  <c r="H441" i="5"/>
  <c r="H72" i="5"/>
  <c r="H501" i="5"/>
  <c r="H52" i="5"/>
  <c r="H369" i="5"/>
  <c r="H420" i="5"/>
  <c r="H65" i="5"/>
  <c r="H434" i="5"/>
  <c r="H453" i="5"/>
  <c r="H400" i="5"/>
  <c r="H182" i="5"/>
  <c r="H165" i="5"/>
  <c r="H204" i="5"/>
  <c r="H346" i="5"/>
  <c r="H487" i="5"/>
  <c r="H246" i="5"/>
  <c r="H218" i="5"/>
  <c r="H352" i="5"/>
  <c r="H371" i="5"/>
  <c r="H279" i="5"/>
  <c r="H458" i="5"/>
  <c r="H286" i="5"/>
  <c r="H298" i="5"/>
  <c r="H157" i="5"/>
  <c r="H260" i="5"/>
  <c r="H92" i="5"/>
  <c r="H34" i="5"/>
  <c r="H109" i="5"/>
  <c r="H232" i="5"/>
  <c r="H257" i="5"/>
  <c r="H294" i="5"/>
  <c r="H360" i="5"/>
  <c r="H401" i="5"/>
  <c r="H498" i="5"/>
  <c r="H146" i="5"/>
  <c r="H375" i="5"/>
  <c r="H71" i="5"/>
  <c r="H249" i="5"/>
  <c r="H289" i="5"/>
  <c r="H343" i="5"/>
  <c r="H248" i="5"/>
  <c r="H37" i="5"/>
  <c r="H227" i="5"/>
  <c r="H482" i="5"/>
  <c r="H26" i="5"/>
  <c r="H203" i="5"/>
  <c r="H94" i="5"/>
  <c r="H197" i="5"/>
  <c r="H207" i="5"/>
  <c r="H111" i="5"/>
  <c r="H70" i="5"/>
  <c r="H258" i="5"/>
  <c r="H186" i="5"/>
  <c r="H331" i="5"/>
  <c r="H454" i="5"/>
  <c r="H471" i="5"/>
  <c r="H192" i="5"/>
  <c r="H384" i="5"/>
  <c r="H380" i="5"/>
  <c r="H455" i="5"/>
  <c r="H479" i="5"/>
  <c r="H188" i="5"/>
  <c r="H83" i="5"/>
  <c r="H363" i="5"/>
  <c r="H151" i="5"/>
  <c r="H229" i="5"/>
  <c r="H23" i="5"/>
  <c r="H152" i="5"/>
  <c r="H86" i="5"/>
  <c r="H411" i="5"/>
  <c r="H436" i="5"/>
  <c r="H99" i="5"/>
  <c r="H367" i="5"/>
  <c r="H233" i="5"/>
  <c r="H144" i="5"/>
  <c r="H287" i="5"/>
  <c r="H376" i="5"/>
  <c r="H499" i="5"/>
  <c r="H15" i="5"/>
  <c r="H127" i="5"/>
  <c r="H451" i="5"/>
  <c r="H10" i="5"/>
  <c r="H142" i="5"/>
  <c r="H357" i="5"/>
  <c r="H90" i="5"/>
  <c r="H340" i="5"/>
  <c r="H291" i="5"/>
  <c r="H215" i="5"/>
  <c r="H119" i="5"/>
  <c r="H315" i="5"/>
  <c r="H304" i="5"/>
  <c r="H497" i="5"/>
  <c r="H55" i="5"/>
  <c r="H477" i="5"/>
  <c r="H362" i="5"/>
  <c r="H255" i="5"/>
  <c r="H43" i="5"/>
  <c r="H84" i="5"/>
  <c r="H417" i="5"/>
  <c r="H435" i="5"/>
  <c r="H457" i="5"/>
  <c r="H220" i="5"/>
  <c r="H116" i="5"/>
  <c r="H334" i="5"/>
  <c r="H415" i="5"/>
  <c r="H56" i="5"/>
  <c r="H217" i="5"/>
  <c r="H35" i="5"/>
  <c r="H296" i="5"/>
  <c r="H88" i="5"/>
  <c r="H63" i="5"/>
  <c r="H36" i="5"/>
  <c r="H461" i="5"/>
  <c r="H446" i="5"/>
  <c r="H171" i="5"/>
  <c r="H145" i="5"/>
  <c r="H19" i="5"/>
  <c r="H359" i="5"/>
  <c r="H170" i="5"/>
  <c r="H20" i="5"/>
  <c r="H89" i="5"/>
  <c r="H230" i="5"/>
  <c r="H437" i="5"/>
  <c r="H115" i="5"/>
  <c r="H390" i="5"/>
  <c r="H250" i="5"/>
  <c r="H252" i="5"/>
  <c r="H183" i="5"/>
  <c r="H22" i="5"/>
  <c r="H397" i="5"/>
  <c r="H79" i="5"/>
  <c r="H128" i="5"/>
  <c r="H419" i="5"/>
  <c r="H161" i="5"/>
  <c r="H205" i="5"/>
  <c r="H155" i="5"/>
  <c r="H421" i="5"/>
  <c r="H41" i="5"/>
  <c r="H190" i="5"/>
  <c r="H473" i="5"/>
  <c r="H408" i="5"/>
  <c r="H488" i="5"/>
  <c r="H18" i="5"/>
  <c r="H385" i="5"/>
  <c r="H168" i="5"/>
  <c r="H388" i="5"/>
  <c r="H241" i="5"/>
  <c r="H64" i="5"/>
  <c r="H431" i="5"/>
  <c r="H348" i="5"/>
  <c r="H297" i="5"/>
  <c r="H410" i="5"/>
  <c r="H277" i="5"/>
  <c r="H316" i="5"/>
  <c r="H196" i="5"/>
  <c r="H403" i="5"/>
  <c r="H46" i="5"/>
  <c r="H238" i="5"/>
  <c r="H13" i="5"/>
  <c r="H213" i="5"/>
  <c r="H244" i="5"/>
  <c r="H427" i="5"/>
  <c r="H174" i="5"/>
  <c r="H276" i="5"/>
  <c r="H61" i="5"/>
  <c r="H319" i="5"/>
  <c r="H372" i="5"/>
  <c r="H464" i="5"/>
  <c r="H268" i="5"/>
  <c r="H104" i="5"/>
  <c r="H62" i="5"/>
  <c r="H149" i="5"/>
  <c r="H167" i="5"/>
  <c r="H262" i="5"/>
  <c r="H459" i="5"/>
  <c r="H209" i="5"/>
  <c r="H301" i="5"/>
  <c r="H485" i="5"/>
  <c r="H53" i="5"/>
  <c r="H409" i="5"/>
  <c r="H200" i="5"/>
  <c r="H328" i="5"/>
  <c r="H386" i="5"/>
  <c r="H395" i="5"/>
  <c r="H21" i="5"/>
  <c r="H113" i="5"/>
  <c r="H377" i="5"/>
  <c r="H469" i="5"/>
  <c r="H122" i="5"/>
  <c r="H264" i="5"/>
  <c r="H392" i="5"/>
  <c r="H138" i="5"/>
  <c r="H444" i="5"/>
  <c r="H378" i="5"/>
  <c r="H309" i="5"/>
  <c r="H342" i="5"/>
  <c r="H195" i="5"/>
  <c r="H442" i="5"/>
  <c r="H96" i="5"/>
  <c r="H361" i="5"/>
  <c r="H438" i="5"/>
  <c r="H322" i="5"/>
  <c r="H345" i="5"/>
  <c r="H125" i="5"/>
  <c r="H425" i="5"/>
  <c r="H95" i="5"/>
  <c r="H66" i="5"/>
  <c r="H405" i="5"/>
  <c r="H12" i="5"/>
  <c r="H302" i="5"/>
  <c r="H24" i="5"/>
  <c r="H114" i="5"/>
  <c r="H492" i="5"/>
  <c r="H5" i="5"/>
  <c r="H228" i="5"/>
  <c r="H236" i="5"/>
  <c r="H426" i="5"/>
  <c r="H210" i="5"/>
  <c r="H306" i="5"/>
  <c r="H349" i="5"/>
  <c r="H495" i="5"/>
  <c r="H350" i="5"/>
  <c r="H402" i="5"/>
  <c r="H172" i="5"/>
  <c r="H60" i="5"/>
  <c r="H325" i="5"/>
  <c r="H284" i="5"/>
  <c r="H347" i="5"/>
  <c r="H466" i="5"/>
  <c r="H484" i="5"/>
  <c r="H126" i="5"/>
  <c r="H31" i="5"/>
  <c r="H74" i="5"/>
  <c r="H93" i="5"/>
  <c r="H393" i="5"/>
  <c r="H166" i="5"/>
  <c r="H293" i="5"/>
  <c r="H490" i="5"/>
  <c r="H181" i="5"/>
  <c r="H85" i="5"/>
  <c r="H140" i="5"/>
  <c r="H132" i="5"/>
  <c r="H49" i="5"/>
  <c r="H439" i="5"/>
  <c r="H101" i="5"/>
  <c r="H416" i="5"/>
  <c r="H105" i="5"/>
  <c r="H212" i="5"/>
  <c r="H222" i="5"/>
  <c r="H275" i="5"/>
  <c r="H69" i="5"/>
  <c r="H201" i="5"/>
  <c r="H329" i="5"/>
  <c r="H422" i="5"/>
  <c r="H465" i="5"/>
  <c r="H283" i="5"/>
  <c r="H292" i="5"/>
  <c r="H221" i="5"/>
  <c r="H290" i="5"/>
  <c r="H272" i="5"/>
  <c r="H38" i="5"/>
  <c r="H17" i="5"/>
  <c r="H373" i="5"/>
  <c r="H206" i="5"/>
  <c r="H261" i="5"/>
  <c r="H481" i="5"/>
  <c r="H208" i="5"/>
  <c r="H135" i="5"/>
  <c r="H281" i="5"/>
  <c r="H335" i="5"/>
  <c r="H314" i="5"/>
  <c r="H313" i="5"/>
  <c r="H225" i="5"/>
  <c r="H112" i="5"/>
  <c r="H265" i="5"/>
  <c r="H318" i="5"/>
  <c r="H450" i="5"/>
  <c r="H321" i="5"/>
  <c r="H100" i="5"/>
  <c r="H136" i="5"/>
  <c r="H102" i="5"/>
  <c r="H493" i="5"/>
  <c r="H483" i="5"/>
  <c r="H219" i="5"/>
  <c r="H247" i="5"/>
  <c r="H412" i="5"/>
  <c r="H32" i="5"/>
  <c r="H7" i="5"/>
  <c r="H147" i="5"/>
  <c r="H406" i="5"/>
  <c r="H245" i="5"/>
  <c r="H270" i="5"/>
  <c r="H467" i="5"/>
  <c r="H266" i="5"/>
  <c r="H440" i="5"/>
  <c r="H317" i="5"/>
  <c r="H491" i="5"/>
  <c r="H389" i="5"/>
  <c r="H307" i="5"/>
  <c r="H418" i="5"/>
  <c r="H45" i="5"/>
  <c r="H80" i="5"/>
  <c r="H124" i="5"/>
  <c r="H6" i="5"/>
  <c r="H193" i="5"/>
  <c r="H81" i="5"/>
  <c r="H332" i="5"/>
  <c r="H333" i="5"/>
  <c r="H391" i="5"/>
  <c r="H16" i="5"/>
  <c r="H432" i="5"/>
  <c r="H202" i="5"/>
  <c r="H234" i="5"/>
  <c r="H478" i="5"/>
  <c r="H337" i="5"/>
  <c r="H339" i="5"/>
  <c r="H117" i="5"/>
  <c r="H141" i="5"/>
  <c r="H164" i="5"/>
  <c r="H273" i="5"/>
  <c r="H280" i="5"/>
  <c r="H327" i="5"/>
  <c r="H475" i="5"/>
  <c r="H28" i="5"/>
  <c r="H341" i="5"/>
  <c r="H448" i="5"/>
  <c r="H470" i="5"/>
  <c r="H428" i="5"/>
  <c r="H364" i="5"/>
  <c r="H323" i="5"/>
  <c r="H267" i="5"/>
  <c r="H8" i="5"/>
  <c r="H176" i="5"/>
  <c r="H399" i="5"/>
  <c r="H463" i="5"/>
  <c r="H123" i="5"/>
  <c r="H177" i="5"/>
  <c r="H433" i="5"/>
  <c r="H106" i="5"/>
  <c r="H29" i="5"/>
  <c r="H134" i="5"/>
  <c r="H48" i="5"/>
  <c r="H191" i="5"/>
  <c r="H110" i="5"/>
  <c r="H312" i="5"/>
  <c r="H175" i="5"/>
  <c r="H443" i="5"/>
  <c r="H216" i="5"/>
  <c r="H223" i="5"/>
  <c r="H476" i="5"/>
  <c r="H184" i="5"/>
  <c r="H447" i="5"/>
  <c r="H91" i="5"/>
  <c r="H107" i="5"/>
  <c r="H137" i="5"/>
  <c r="H121" i="5"/>
  <c r="H308" i="5"/>
  <c r="H120" i="5"/>
  <c r="H414" i="5"/>
  <c r="H445" i="5"/>
  <c r="H50" i="5"/>
  <c r="H59" i="5"/>
  <c r="H73" i="5"/>
  <c r="H25" i="5"/>
  <c r="H285" i="5"/>
  <c r="H42" i="5"/>
  <c r="H242" i="5"/>
  <c r="H381" i="5"/>
  <c r="H413" i="5"/>
  <c r="H430" i="5"/>
  <c r="H472" i="5"/>
  <c r="H47" i="5"/>
  <c r="H78" i="5"/>
  <c r="H160" i="5"/>
  <c r="H460" i="5"/>
  <c r="H33" i="5"/>
  <c r="H480" i="5"/>
  <c r="H75" i="5"/>
  <c r="H366" i="5"/>
  <c r="H133" i="5"/>
  <c r="H235" i="5"/>
  <c r="H185" i="5"/>
  <c r="H383" i="5"/>
  <c r="H189" i="5"/>
  <c r="H143" i="5"/>
  <c r="H489" i="5"/>
  <c r="H108" i="5"/>
  <c r="H159" i="5"/>
  <c r="H496" i="5"/>
  <c r="G456" i="5"/>
  <c r="G394" i="5"/>
  <c r="G374" i="5"/>
  <c r="G324" i="5"/>
  <c r="G158" i="5"/>
  <c r="G368" i="5"/>
  <c r="G356" i="5"/>
  <c r="G494" i="5"/>
  <c r="G199" i="5"/>
  <c r="G3" i="5"/>
  <c r="G259" i="5"/>
  <c r="G370" i="5"/>
  <c r="G500" i="5"/>
  <c r="G398" i="5"/>
  <c r="G282" i="5"/>
  <c r="G162" i="5"/>
  <c r="G288" i="5"/>
  <c r="G224" i="5"/>
  <c r="G254" i="5"/>
  <c r="G263" i="5"/>
  <c r="G231" i="5"/>
  <c r="G187" i="5"/>
  <c r="G87" i="5"/>
  <c r="G423" i="5"/>
  <c r="G404" i="5"/>
  <c r="G156" i="5"/>
  <c r="G303" i="5"/>
  <c r="G336" i="5"/>
  <c r="G198" i="5"/>
  <c r="G40" i="5"/>
  <c r="G82" i="5"/>
  <c r="G310" i="5"/>
  <c r="G311" i="5"/>
  <c r="G351" i="5"/>
  <c r="G14" i="5"/>
  <c r="G320" i="5"/>
  <c r="G169" i="5"/>
  <c r="G30" i="5"/>
  <c r="G130" i="5"/>
  <c r="G344" i="5"/>
  <c r="G243" i="5"/>
  <c r="G474" i="5"/>
  <c r="G179" i="5"/>
  <c r="G118" i="5"/>
  <c r="G486" i="5"/>
  <c r="G449" i="5"/>
  <c r="G194" i="5"/>
  <c r="G57" i="5"/>
  <c r="G9" i="5"/>
  <c r="G153" i="5"/>
  <c r="G180" i="5"/>
  <c r="G4" i="5"/>
  <c r="G452" i="5"/>
  <c r="G54" i="5"/>
  <c r="G256" i="5"/>
  <c r="G163" i="5"/>
  <c r="G396" i="5"/>
  <c r="G330" i="5"/>
  <c r="G407" i="5"/>
  <c r="G98" i="5"/>
  <c r="G237" i="5"/>
  <c r="G2" i="5"/>
  <c r="G274" i="5"/>
  <c r="G429" i="5"/>
  <c r="G365" i="5"/>
  <c r="G77" i="5"/>
  <c r="G240" i="5"/>
  <c r="G295" i="5"/>
  <c r="G326" i="5"/>
  <c r="G354" i="5"/>
  <c r="G173" i="5"/>
  <c r="G358" i="5"/>
  <c r="G131" i="5"/>
  <c r="G278" i="5"/>
  <c r="G468" i="5"/>
  <c r="G211" i="5"/>
  <c r="G269" i="5"/>
  <c r="G424" i="5"/>
  <c r="G27" i="5"/>
  <c r="G338" i="5"/>
  <c r="G11" i="5"/>
  <c r="G178" i="5"/>
  <c r="G139" i="5"/>
  <c r="G379" i="5"/>
  <c r="G44" i="5"/>
  <c r="G129" i="5"/>
  <c r="G150" i="5"/>
  <c r="G68" i="5"/>
  <c r="G58" i="5"/>
  <c r="G154" i="5"/>
  <c r="G462" i="5"/>
  <c r="G239" i="5"/>
  <c r="G103" i="5"/>
  <c r="G353" i="5"/>
  <c r="G67" i="5"/>
  <c r="G76" i="5"/>
  <c r="G51" i="5"/>
  <c r="G387" i="5"/>
  <c r="G251" i="5"/>
  <c r="G299" i="5"/>
  <c r="G214" i="5"/>
  <c r="G226" i="5"/>
  <c r="G355" i="5"/>
  <c r="G97" i="5"/>
  <c r="G39" i="5"/>
  <c r="G148" i="5"/>
  <c r="G305" i="5"/>
  <c r="G253" i="5"/>
  <c r="G382" i="5"/>
  <c r="G300" i="5"/>
  <c r="G271" i="5"/>
  <c r="G441" i="5"/>
  <c r="G72" i="5"/>
  <c r="G501" i="5"/>
  <c r="G52" i="5"/>
  <c r="G369" i="5"/>
  <c r="G420" i="5"/>
  <c r="G65" i="5"/>
  <c r="G434" i="5"/>
  <c r="G453" i="5"/>
  <c r="G400" i="5"/>
  <c r="G182" i="5"/>
  <c r="G165" i="5"/>
  <c r="G204" i="5"/>
  <c r="G346" i="5"/>
  <c r="G487" i="5"/>
  <c r="G246" i="5"/>
  <c r="G218" i="5"/>
  <c r="G352" i="5"/>
  <c r="G371" i="5"/>
  <c r="G279" i="5"/>
  <c r="G458" i="5"/>
  <c r="G286" i="5"/>
  <c r="G298" i="5"/>
  <c r="G157" i="5"/>
  <c r="G260" i="5"/>
  <c r="G92" i="5"/>
  <c r="G34" i="5"/>
  <c r="G109" i="5"/>
  <c r="G232" i="5"/>
  <c r="G257" i="5"/>
  <c r="G294" i="5"/>
  <c r="G360" i="5"/>
  <c r="G401" i="5"/>
  <c r="G498" i="5"/>
  <c r="G146" i="5"/>
  <c r="G375" i="5"/>
  <c r="G71" i="5"/>
  <c r="G249" i="5"/>
  <c r="G289" i="5"/>
  <c r="G343" i="5"/>
  <c r="G248" i="5"/>
  <c r="G37" i="5"/>
  <c r="G227" i="5"/>
  <c r="G482" i="5"/>
  <c r="G26" i="5"/>
  <c r="G203" i="5"/>
  <c r="G94" i="5"/>
  <c r="G197" i="5"/>
  <c r="G207" i="5"/>
  <c r="G111" i="5"/>
  <c r="G70" i="5"/>
  <c r="G258" i="5"/>
  <c r="G186" i="5"/>
  <c r="G331" i="5"/>
  <c r="G454" i="5"/>
  <c r="G471" i="5"/>
  <c r="G192" i="5"/>
  <c r="G384" i="5"/>
  <c r="G380" i="5"/>
  <c r="G455" i="5"/>
  <c r="G479" i="5"/>
  <c r="G188" i="5"/>
  <c r="G83" i="5"/>
  <c r="G363" i="5"/>
  <c r="G151" i="5"/>
  <c r="G229" i="5"/>
  <c r="G23" i="5"/>
  <c r="G152" i="5"/>
  <c r="G86" i="5"/>
  <c r="G411" i="5"/>
  <c r="G436" i="5"/>
  <c r="G99" i="5"/>
  <c r="G367" i="5"/>
  <c r="G233" i="5"/>
  <c r="G144" i="5"/>
  <c r="G287" i="5"/>
  <c r="G376" i="5"/>
  <c r="G499" i="5"/>
  <c r="G15" i="5"/>
  <c r="G127" i="5"/>
  <c r="G451" i="5"/>
  <c r="G10" i="5"/>
  <c r="G142" i="5"/>
  <c r="G357" i="5"/>
  <c r="G90" i="5"/>
  <c r="G340" i="5"/>
  <c r="G291" i="5"/>
  <c r="G215" i="5"/>
  <c r="G119" i="5"/>
  <c r="G315" i="5"/>
  <c r="G304" i="5"/>
  <c r="G497" i="5"/>
  <c r="G55" i="5"/>
  <c r="G477" i="5"/>
  <c r="G362" i="5"/>
  <c r="G255" i="5"/>
  <c r="G43" i="5"/>
  <c r="G84" i="5"/>
  <c r="G417" i="5"/>
  <c r="G435" i="5"/>
  <c r="G457" i="5"/>
  <c r="G220" i="5"/>
  <c r="G116" i="5"/>
  <c r="G334" i="5"/>
  <c r="G415" i="5"/>
  <c r="G56" i="5"/>
  <c r="G217" i="5"/>
  <c r="G35" i="5"/>
  <c r="G296" i="5"/>
  <c r="G88" i="5"/>
  <c r="G63" i="5"/>
  <c r="G36" i="5"/>
  <c r="G461" i="5"/>
  <c r="G446" i="5"/>
  <c r="G171" i="5"/>
  <c r="G145" i="5"/>
  <c r="G19" i="5"/>
  <c r="G359" i="5"/>
  <c r="G170" i="5"/>
  <c r="G20" i="5"/>
  <c r="G89" i="5"/>
  <c r="G230" i="5"/>
  <c r="G437" i="5"/>
  <c r="G115" i="5"/>
  <c r="G390" i="5"/>
  <c r="G250" i="5"/>
  <c r="G252" i="5"/>
  <c r="G183" i="5"/>
  <c r="G22" i="5"/>
  <c r="G397" i="5"/>
  <c r="G79" i="5"/>
  <c r="G128" i="5"/>
  <c r="G419" i="5"/>
  <c r="G161" i="5"/>
  <c r="G205" i="5"/>
  <c r="G155" i="5"/>
  <c r="G421" i="5"/>
  <c r="G41" i="5"/>
  <c r="G190" i="5"/>
  <c r="G473" i="5"/>
  <c r="G408" i="5"/>
  <c r="G488" i="5"/>
  <c r="G18" i="5"/>
  <c r="G385" i="5"/>
  <c r="G168" i="5"/>
  <c r="G388" i="5"/>
  <c r="G241" i="5"/>
  <c r="G64" i="5"/>
  <c r="G431" i="5"/>
  <c r="G348" i="5"/>
  <c r="G297" i="5"/>
  <c r="G410" i="5"/>
  <c r="G277" i="5"/>
  <c r="G316" i="5"/>
  <c r="G196" i="5"/>
  <c r="G403" i="5"/>
  <c r="G46" i="5"/>
  <c r="G238" i="5"/>
  <c r="G13" i="5"/>
  <c r="G213" i="5"/>
  <c r="G244" i="5"/>
  <c r="G427" i="5"/>
  <c r="G174" i="5"/>
  <c r="G276" i="5"/>
  <c r="G61" i="5"/>
  <c r="G319" i="5"/>
  <c r="G372" i="5"/>
  <c r="G464" i="5"/>
  <c r="G268" i="5"/>
  <c r="G104" i="5"/>
  <c r="G62" i="5"/>
  <c r="G149" i="5"/>
  <c r="G167" i="5"/>
  <c r="G262" i="5"/>
  <c r="G459" i="5"/>
  <c r="G209" i="5"/>
  <c r="G301" i="5"/>
  <c r="G485" i="5"/>
  <c r="G53" i="5"/>
  <c r="G409" i="5"/>
  <c r="G200" i="5"/>
  <c r="G328" i="5"/>
  <c r="G386" i="5"/>
  <c r="G395" i="5"/>
  <c r="G21" i="5"/>
  <c r="G113" i="5"/>
  <c r="G377" i="5"/>
  <c r="G469" i="5"/>
  <c r="G122" i="5"/>
  <c r="G264" i="5"/>
  <c r="G392" i="5"/>
  <c r="G138" i="5"/>
  <c r="G444" i="5"/>
  <c r="G378" i="5"/>
  <c r="G309" i="5"/>
  <c r="G342" i="5"/>
  <c r="G195" i="5"/>
  <c r="G442" i="5"/>
  <c r="G96" i="5"/>
  <c r="G361" i="5"/>
  <c r="G438" i="5"/>
  <c r="G322" i="5"/>
  <c r="G345" i="5"/>
  <c r="G125" i="5"/>
  <c r="G425" i="5"/>
  <c r="G95" i="5"/>
  <c r="G66" i="5"/>
  <c r="G405" i="5"/>
  <c r="G12" i="5"/>
  <c r="G302" i="5"/>
  <c r="G24" i="5"/>
  <c r="G114" i="5"/>
  <c r="G492" i="5"/>
  <c r="G5" i="5"/>
  <c r="G228" i="5"/>
  <c r="G236" i="5"/>
  <c r="G426" i="5"/>
  <c r="G210" i="5"/>
  <c r="G306" i="5"/>
  <c r="G349" i="5"/>
  <c r="G495" i="5"/>
  <c r="G350" i="5"/>
  <c r="G402" i="5"/>
  <c r="G172" i="5"/>
  <c r="G60" i="5"/>
  <c r="G325" i="5"/>
  <c r="G284" i="5"/>
  <c r="G347" i="5"/>
  <c r="G466" i="5"/>
  <c r="G484" i="5"/>
  <c r="G126" i="5"/>
  <c r="G31" i="5"/>
  <c r="G74" i="5"/>
  <c r="G93" i="5"/>
  <c r="G393" i="5"/>
  <c r="G166" i="5"/>
  <c r="G293" i="5"/>
  <c r="G490" i="5"/>
  <c r="G181" i="5"/>
  <c r="G85" i="5"/>
  <c r="G140" i="5"/>
  <c r="G132" i="5"/>
  <c r="G49" i="5"/>
  <c r="G439" i="5"/>
  <c r="G101" i="5"/>
  <c r="G416" i="5"/>
  <c r="G105" i="5"/>
  <c r="G212" i="5"/>
  <c r="G222" i="5"/>
  <c r="G275" i="5"/>
  <c r="G69" i="5"/>
  <c r="G201" i="5"/>
  <c r="G329" i="5"/>
  <c r="G422" i="5"/>
  <c r="G465" i="5"/>
  <c r="G283" i="5"/>
  <c r="G292" i="5"/>
  <c r="G221" i="5"/>
  <c r="G290" i="5"/>
  <c r="G272" i="5"/>
  <c r="G38" i="5"/>
  <c r="G17" i="5"/>
  <c r="G373" i="5"/>
  <c r="G206" i="5"/>
  <c r="G261" i="5"/>
  <c r="G481" i="5"/>
  <c r="G208" i="5"/>
  <c r="G135" i="5"/>
  <c r="G281" i="5"/>
  <c r="G335" i="5"/>
  <c r="G314" i="5"/>
  <c r="G313" i="5"/>
  <c r="G225" i="5"/>
  <c r="G112" i="5"/>
  <c r="G265" i="5"/>
  <c r="G318" i="5"/>
  <c r="G450" i="5"/>
  <c r="G321" i="5"/>
  <c r="G100" i="5"/>
  <c r="G136" i="5"/>
  <c r="G102" i="5"/>
  <c r="G493" i="5"/>
  <c r="G483" i="5"/>
  <c r="G219" i="5"/>
  <c r="G247" i="5"/>
  <c r="G412" i="5"/>
  <c r="G32" i="5"/>
  <c r="G7" i="5"/>
  <c r="G147" i="5"/>
  <c r="G406" i="5"/>
  <c r="G245" i="5"/>
  <c r="G270" i="5"/>
  <c r="G467" i="5"/>
  <c r="G266" i="5"/>
  <c r="G440" i="5"/>
  <c r="G317" i="5"/>
  <c r="G491" i="5"/>
  <c r="G389" i="5"/>
  <c r="G307" i="5"/>
  <c r="G418" i="5"/>
  <c r="G45" i="5"/>
  <c r="G80" i="5"/>
  <c r="G124" i="5"/>
  <c r="G6" i="5"/>
  <c r="G193" i="5"/>
  <c r="G81" i="5"/>
  <c r="G332" i="5"/>
  <c r="G333" i="5"/>
  <c r="G391" i="5"/>
  <c r="G16" i="5"/>
  <c r="G432" i="5"/>
  <c r="G202" i="5"/>
  <c r="G234" i="5"/>
  <c r="G478" i="5"/>
  <c r="G337" i="5"/>
  <c r="G339" i="5"/>
  <c r="G117" i="5"/>
  <c r="G141" i="5"/>
  <c r="G164" i="5"/>
  <c r="G273" i="5"/>
  <c r="G280" i="5"/>
  <c r="G327" i="5"/>
  <c r="G475" i="5"/>
  <c r="G28" i="5"/>
  <c r="G341" i="5"/>
  <c r="G448" i="5"/>
  <c r="G470" i="5"/>
  <c r="G428" i="5"/>
  <c r="G364" i="5"/>
  <c r="G323" i="5"/>
  <c r="G267" i="5"/>
  <c r="G8" i="5"/>
  <c r="G176" i="5"/>
  <c r="G399" i="5"/>
  <c r="G463" i="5"/>
  <c r="G123" i="5"/>
  <c r="G177" i="5"/>
  <c r="G433" i="5"/>
  <c r="G106" i="5"/>
  <c r="G29" i="5"/>
  <c r="G134" i="5"/>
  <c r="G48" i="5"/>
  <c r="G191" i="5"/>
  <c r="G110" i="5"/>
  <c r="G312" i="5"/>
  <c r="G175" i="5"/>
  <c r="G443" i="5"/>
  <c r="G216" i="5"/>
  <c r="G223" i="5"/>
  <c r="G476" i="5"/>
  <c r="G184" i="5"/>
  <c r="G447" i="5"/>
  <c r="G91" i="5"/>
  <c r="G107" i="5"/>
  <c r="G137" i="5"/>
  <c r="G121" i="5"/>
  <c r="G308" i="5"/>
  <c r="G120" i="5"/>
  <c r="G414" i="5"/>
  <c r="G445" i="5"/>
  <c r="G50" i="5"/>
  <c r="G59" i="5"/>
  <c r="G73" i="5"/>
  <c r="G25" i="5"/>
  <c r="G285" i="5"/>
  <c r="G42" i="5"/>
  <c r="G242" i="5"/>
  <c r="G381" i="5"/>
  <c r="G413" i="5"/>
  <c r="G430" i="5"/>
  <c r="G472" i="5"/>
  <c r="G47" i="5"/>
  <c r="G78" i="5"/>
  <c r="G160" i="5"/>
  <c r="G460" i="5"/>
  <c r="G33" i="5"/>
  <c r="G480" i="5"/>
  <c r="G75" i="5"/>
  <c r="G366" i="5"/>
  <c r="G133" i="5"/>
  <c r="G235" i="5"/>
  <c r="G185" i="5"/>
  <c r="G383" i="5"/>
  <c r="G189" i="5"/>
  <c r="G143" i="5"/>
  <c r="G489" i="5"/>
  <c r="G108" i="5"/>
  <c r="G159" i="5"/>
  <c r="G496" i="5"/>
  <c r="F456" i="5"/>
  <c r="F394" i="5"/>
  <c r="L394" i="5" s="1"/>
  <c r="F374" i="5"/>
  <c r="L374" i="5" s="1"/>
  <c r="F324" i="5"/>
  <c r="L324" i="5" s="1"/>
  <c r="F158" i="5"/>
  <c r="L158" i="5" s="1"/>
  <c r="F368" i="5"/>
  <c r="L368" i="5" s="1"/>
  <c r="F356" i="5"/>
  <c r="L356" i="5" s="1"/>
  <c r="F494" i="5"/>
  <c r="F199" i="5"/>
  <c r="F3" i="5"/>
  <c r="F259" i="5"/>
  <c r="F370" i="5"/>
  <c r="F500" i="5"/>
  <c r="F398" i="5"/>
  <c r="L398" i="5" s="1"/>
  <c r="F282" i="5"/>
  <c r="L282" i="5" s="1"/>
  <c r="F162" i="5"/>
  <c r="L162" i="5" s="1"/>
  <c r="F288" i="5"/>
  <c r="L288" i="5" s="1"/>
  <c r="F224" i="5"/>
  <c r="L224" i="5" s="1"/>
  <c r="F254" i="5"/>
  <c r="L254" i="5" s="1"/>
  <c r="F263" i="5"/>
  <c r="F231" i="5"/>
  <c r="F187" i="5"/>
  <c r="F87" i="5"/>
  <c r="F423" i="5"/>
  <c r="F404" i="5"/>
  <c r="F156" i="5"/>
  <c r="L156" i="5" s="1"/>
  <c r="F303" i="5"/>
  <c r="L303" i="5" s="1"/>
  <c r="F336" i="5"/>
  <c r="L336" i="5" s="1"/>
  <c r="F198" i="5"/>
  <c r="L198" i="5" s="1"/>
  <c r="F40" i="5"/>
  <c r="L40" i="5" s="1"/>
  <c r="F82" i="5"/>
  <c r="L82" i="5" s="1"/>
  <c r="F310" i="5"/>
  <c r="F311" i="5"/>
  <c r="F351" i="5"/>
  <c r="F14" i="5"/>
  <c r="F320" i="5"/>
  <c r="F169" i="5"/>
  <c r="F30" i="5"/>
  <c r="L30" i="5" s="1"/>
  <c r="F130" i="5"/>
  <c r="L130" i="5" s="1"/>
  <c r="F344" i="5"/>
  <c r="L344" i="5" s="1"/>
  <c r="F243" i="5"/>
  <c r="L243" i="5" s="1"/>
  <c r="F474" i="5"/>
  <c r="L474" i="5" s="1"/>
  <c r="F179" i="5"/>
  <c r="L179" i="5" s="1"/>
  <c r="F118" i="5"/>
  <c r="F486" i="5"/>
  <c r="F449" i="5"/>
  <c r="F194" i="5"/>
  <c r="F57" i="5"/>
  <c r="F9" i="5"/>
  <c r="F153" i="5"/>
  <c r="L153" i="5" s="1"/>
  <c r="F180" i="5"/>
  <c r="L180" i="5" s="1"/>
  <c r="F4" i="5"/>
  <c r="L4" i="5" s="1"/>
  <c r="F452" i="5"/>
  <c r="L452" i="5" s="1"/>
  <c r="F54" i="5"/>
  <c r="L54" i="5" s="1"/>
  <c r="F256" i="5"/>
  <c r="L256" i="5" s="1"/>
  <c r="F163" i="5"/>
  <c r="F396" i="5"/>
  <c r="F330" i="5"/>
  <c r="F407" i="5"/>
  <c r="F98" i="5"/>
  <c r="F237" i="5"/>
  <c r="F2" i="5"/>
  <c r="L2" i="5" s="1"/>
  <c r="F274" i="5"/>
  <c r="L274" i="5" s="1"/>
  <c r="F429" i="5"/>
  <c r="L429" i="5" s="1"/>
  <c r="F365" i="5"/>
  <c r="L365" i="5" s="1"/>
  <c r="F77" i="5"/>
  <c r="L77" i="5" s="1"/>
  <c r="F240" i="5"/>
  <c r="L240" i="5" s="1"/>
  <c r="F295" i="5"/>
  <c r="F326" i="5"/>
  <c r="F354" i="5"/>
  <c r="F173" i="5"/>
  <c r="F358" i="5"/>
  <c r="F131" i="5"/>
  <c r="F278" i="5"/>
  <c r="L278" i="5" s="1"/>
  <c r="F468" i="5"/>
  <c r="L468" i="5" s="1"/>
  <c r="F211" i="5"/>
  <c r="L211" i="5" s="1"/>
  <c r="F269" i="5"/>
  <c r="L269" i="5" s="1"/>
  <c r="F424" i="5"/>
  <c r="L424" i="5" s="1"/>
  <c r="F27" i="5"/>
  <c r="L27" i="5" s="1"/>
  <c r="F338" i="5"/>
  <c r="F11" i="5"/>
  <c r="F178" i="5"/>
  <c r="F139" i="5"/>
  <c r="F379" i="5"/>
  <c r="F44" i="5"/>
  <c r="F129" i="5"/>
  <c r="L129" i="5" s="1"/>
  <c r="F150" i="5"/>
  <c r="L150" i="5" s="1"/>
  <c r="F68" i="5"/>
  <c r="L68" i="5" s="1"/>
  <c r="F58" i="5"/>
  <c r="L58" i="5" s="1"/>
  <c r="F154" i="5"/>
  <c r="L154" i="5" s="1"/>
  <c r="F462" i="5"/>
  <c r="L462" i="5" s="1"/>
  <c r="F239" i="5"/>
  <c r="F103" i="5"/>
  <c r="F353" i="5"/>
  <c r="F67" i="5"/>
  <c r="F76" i="5"/>
  <c r="F51" i="5"/>
  <c r="F387" i="5"/>
  <c r="L387" i="5" s="1"/>
  <c r="F251" i="5"/>
  <c r="L251" i="5" s="1"/>
  <c r="F299" i="5"/>
  <c r="L299" i="5" s="1"/>
  <c r="F214" i="5"/>
  <c r="L214" i="5" s="1"/>
  <c r="F226" i="5"/>
  <c r="L226" i="5" s="1"/>
  <c r="F355" i="5"/>
  <c r="L355" i="5" s="1"/>
  <c r="F97" i="5"/>
  <c r="F39" i="5"/>
  <c r="F148" i="5"/>
  <c r="F305" i="5"/>
  <c r="F253" i="5"/>
  <c r="F382" i="5"/>
  <c r="F300" i="5"/>
  <c r="L300" i="5" s="1"/>
  <c r="F271" i="5"/>
  <c r="L271" i="5" s="1"/>
  <c r="F441" i="5"/>
  <c r="L441" i="5" s="1"/>
  <c r="F72" i="5"/>
  <c r="L72" i="5" s="1"/>
  <c r="F501" i="5"/>
  <c r="L501" i="5" s="1"/>
  <c r="F52" i="5"/>
  <c r="L52" i="5" s="1"/>
  <c r="F369" i="5"/>
  <c r="F420" i="5"/>
  <c r="F65" i="5"/>
  <c r="F434" i="5"/>
  <c r="F453" i="5"/>
  <c r="F400" i="5"/>
  <c r="F182" i="5"/>
  <c r="L182" i="5" s="1"/>
  <c r="F165" i="5"/>
  <c r="L165" i="5" s="1"/>
  <c r="F204" i="5"/>
  <c r="L204" i="5" s="1"/>
  <c r="F346" i="5"/>
  <c r="L346" i="5" s="1"/>
  <c r="F487" i="5"/>
  <c r="L487" i="5" s="1"/>
  <c r="F246" i="5"/>
  <c r="L246" i="5" s="1"/>
  <c r="F218" i="5"/>
  <c r="F352" i="5"/>
  <c r="F371" i="5"/>
  <c r="F279" i="5"/>
  <c r="F458" i="5"/>
  <c r="F286" i="5"/>
  <c r="F298" i="5"/>
  <c r="L298" i="5" s="1"/>
  <c r="F157" i="5"/>
  <c r="L157" i="5" s="1"/>
  <c r="F260" i="5"/>
  <c r="L260" i="5" s="1"/>
  <c r="F92" i="5"/>
  <c r="L92" i="5" s="1"/>
  <c r="F34" i="5"/>
  <c r="L34" i="5" s="1"/>
  <c r="F109" i="5"/>
  <c r="L109" i="5" s="1"/>
  <c r="F232" i="5"/>
  <c r="F257" i="5"/>
  <c r="F294" i="5"/>
  <c r="F360" i="5"/>
  <c r="F401" i="5"/>
  <c r="F498" i="5"/>
  <c r="F146" i="5"/>
  <c r="L146" i="5" s="1"/>
  <c r="F375" i="5"/>
  <c r="L375" i="5" s="1"/>
  <c r="F71" i="5"/>
  <c r="L71" i="5" s="1"/>
  <c r="F249" i="5"/>
  <c r="L249" i="5" s="1"/>
  <c r="F289" i="5"/>
  <c r="L289" i="5" s="1"/>
  <c r="F343" i="5"/>
  <c r="L343" i="5" s="1"/>
  <c r="F248" i="5"/>
  <c r="F37" i="5"/>
  <c r="F227" i="5"/>
  <c r="F482" i="5"/>
  <c r="F26" i="5"/>
  <c r="F203" i="5"/>
  <c r="F94" i="5"/>
  <c r="L94" i="5" s="1"/>
  <c r="F197" i="5"/>
  <c r="L197" i="5" s="1"/>
  <c r="F207" i="5"/>
  <c r="L207" i="5" s="1"/>
  <c r="F111" i="5"/>
  <c r="L111" i="5" s="1"/>
  <c r="F70" i="5"/>
  <c r="L70" i="5" s="1"/>
  <c r="F258" i="5"/>
  <c r="L258" i="5" s="1"/>
  <c r="F186" i="5"/>
  <c r="F331" i="5"/>
  <c r="F454" i="5"/>
  <c r="F471" i="5"/>
  <c r="F192" i="5"/>
  <c r="F384" i="5"/>
  <c r="F380" i="5"/>
  <c r="L380" i="5" s="1"/>
  <c r="F455" i="5"/>
  <c r="L455" i="5" s="1"/>
  <c r="F479" i="5"/>
  <c r="L479" i="5" s="1"/>
  <c r="F188" i="5"/>
  <c r="L188" i="5" s="1"/>
  <c r="F83" i="5"/>
  <c r="L83" i="5" s="1"/>
  <c r="F363" i="5"/>
  <c r="L363" i="5" s="1"/>
  <c r="F151" i="5"/>
  <c r="F229" i="5"/>
  <c r="F23" i="5"/>
  <c r="F152" i="5"/>
  <c r="F86" i="5"/>
  <c r="F411" i="5"/>
  <c r="F436" i="5"/>
  <c r="L436" i="5" s="1"/>
  <c r="F99" i="5"/>
  <c r="L99" i="5" s="1"/>
  <c r="F367" i="5"/>
  <c r="L367" i="5" s="1"/>
  <c r="F233" i="5"/>
  <c r="L233" i="5" s="1"/>
  <c r="F144" i="5"/>
  <c r="L144" i="5" s="1"/>
  <c r="F287" i="5"/>
  <c r="L287" i="5" s="1"/>
  <c r="F376" i="5"/>
  <c r="F499" i="5"/>
  <c r="F15" i="5"/>
  <c r="F127" i="5"/>
  <c r="F451" i="5"/>
  <c r="F10" i="5"/>
  <c r="F142" i="5"/>
  <c r="L142" i="5" s="1"/>
  <c r="F357" i="5"/>
  <c r="L357" i="5" s="1"/>
  <c r="F90" i="5"/>
  <c r="L90" i="5" s="1"/>
  <c r="F340" i="5"/>
  <c r="L340" i="5" s="1"/>
  <c r="F291" i="5"/>
  <c r="L291" i="5" s="1"/>
  <c r="F215" i="5"/>
  <c r="L215" i="5" s="1"/>
  <c r="F119" i="5"/>
  <c r="F315" i="5"/>
  <c r="F304" i="5"/>
  <c r="F497" i="5"/>
  <c r="F55" i="5"/>
  <c r="F477" i="5"/>
  <c r="F362" i="5"/>
  <c r="L362" i="5" s="1"/>
  <c r="F255" i="5"/>
  <c r="L255" i="5" s="1"/>
  <c r="F43" i="5"/>
  <c r="L43" i="5" s="1"/>
  <c r="F84" i="5"/>
  <c r="L84" i="5" s="1"/>
  <c r="F417" i="5"/>
  <c r="L417" i="5" s="1"/>
  <c r="F435" i="5"/>
  <c r="L435" i="5" s="1"/>
  <c r="F457" i="5"/>
  <c r="F220" i="5"/>
  <c r="F116" i="5"/>
  <c r="F334" i="5"/>
  <c r="F415" i="5"/>
  <c r="F56" i="5"/>
  <c r="F217" i="5"/>
  <c r="L217" i="5" s="1"/>
  <c r="F35" i="5"/>
  <c r="L35" i="5" s="1"/>
  <c r="F296" i="5"/>
  <c r="L296" i="5" s="1"/>
  <c r="F88" i="5"/>
  <c r="L88" i="5" s="1"/>
  <c r="F63" i="5"/>
  <c r="L63" i="5" s="1"/>
  <c r="F36" i="5"/>
  <c r="L36" i="5" s="1"/>
  <c r="F461" i="5"/>
  <c r="F446" i="5"/>
  <c r="F171" i="5"/>
  <c r="F145" i="5"/>
  <c r="F19" i="5"/>
  <c r="F359" i="5"/>
  <c r="F170" i="5"/>
  <c r="L170" i="5" s="1"/>
  <c r="F20" i="5"/>
  <c r="L20" i="5" s="1"/>
  <c r="F89" i="5"/>
  <c r="L89" i="5" s="1"/>
  <c r="F230" i="5"/>
  <c r="L230" i="5" s="1"/>
  <c r="F437" i="5"/>
  <c r="L437" i="5" s="1"/>
  <c r="F115" i="5"/>
  <c r="L115" i="5" s="1"/>
  <c r="F390" i="5"/>
  <c r="F250" i="5"/>
  <c r="F252" i="5"/>
  <c r="F183" i="5"/>
  <c r="F22" i="5"/>
  <c r="F397" i="5"/>
  <c r="F79" i="5"/>
  <c r="L79" i="5" s="1"/>
  <c r="F128" i="5"/>
  <c r="L128" i="5" s="1"/>
  <c r="F419" i="5"/>
  <c r="L419" i="5" s="1"/>
  <c r="F161" i="5"/>
  <c r="L161" i="5" s="1"/>
  <c r="F205" i="5"/>
  <c r="L205" i="5" s="1"/>
  <c r="F155" i="5"/>
  <c r="L155" i="5" s="1"/>
  <c r="F421" i="5"/>
  <c r="F41" i="5"/>
  <c r="F190" i="5"/>
  <c r="F473" i="5"/>
  <c r="F408" i="5"/>
  <c r="F488" i="5"/>
  <c r="F18" i="5"/>
  <c r="L18" i="5" s="1"/>
  <c r="F385" i="5"/>
  <c r="L385" i="5" s="1"/>
  <c r="F168" i="5"/>
  <c r="L168" i="5" s="1"/>
  <c r="F388" i="5"/>
  <c r="L388" i="5" s="1"/>
  <c r="F241" i="5"/>
  <c r="L241" i="5" s="1"/>
  <c r="F64" i="5"/>
  <c r="L64" i="5" s="1"/>
  <c r="F431" i="5"/>
  <c r="F348" i="5"/>
  <c r="F297" i="5"/>
  <c r="F410" i="5"/>
  <c r="F277" i="5"/>
  <c r="F316" i="5"/>
  <c r="F196" i="5"/>
  <c r="L196" i="5" s="1"/>
  <c r="F403" i="5"/>
  <c r="L403" i="5" s="1"/>
  <c r="F46" i="5"/>
  <c r="L46" i="5" s="1"/>
  <c r="F238" i="5"/>
  <c r="L238" i="5" s="1"/>
  <c r="F13" i="5"/>
  <c r="L13" i="5" s="1"/>
  <c r="F213" i="5"/>
  <c r="L213" i="5" s="1"/>
  <c r="F244" i="5"/>
  <c r="F427" i="5"/>
  <c r="F174" i="5"/>
  <c r="F276" i="5"/>
  <c r="F61" i="5"/>
  <c r="F319" i="5"/>
  <c r="F372" i="5"/>
  <c r="L372" i="5" s="1"/>
  <c r="F464" i="5"/>
  <c r="L464" i="5" s="1"/>
  <c r="F268" i="5"/>
  <c r="L268" i="5" s="1"/>
  <c r="F104" i="5"/>
  <c r="L104" i="5" s="1"/>
  <c r="F62" i="5"/>
  <c r="L62" i="5" s="1"/>
  <c r="F149" i="5"/>
  <c r="L149" i="5" s="1"/>
  <c r="F167" i="5"/>
  <c r="F262" i="5"/>
  <c r="F459" i="5"/>
  <c r="F209" i="5"/>
  <c r="F301" i="5"/>
  <c r="F485" i="5"/>
  <c r="F53" i="5"/>
  <c r="L53" i="5" s="1"/>
  <c r="F409" i="5"/>
  <c r="L409" i="5" s="1"/>
  <c r="F200" i="5"/>
  <c r="L200" i="5" s="1"/>
  <c r="F328" i="5"/>
  <c r="L328" i="5" s="1"/>
  <c r="F386" i="5"/>
  <c r="L386" i="5" s="1"/>
  <c r="F395" i="5"/>
  <c r="L395" i="5" s="1"/>
  <c r="F21" i="5"/>
  <c r="F113" i="5"/>
  <c r="F377" i="5"/>
  <c r="F469" i="5"/>
  <c r="F122" i="5"/>
  <c r="F264" i="5"/>
  <c r="F392" i="5"/>
  <c r="L392" i="5" s="1"/>
  <c r="F138" i="5"/>
  <c r="L138" i="5" s="1"/>
  <c r="F444" i="5"/>
  <c r="L444" i="5" s="1"/>
  <c r="F378" i="5"/>
  <c r="L378" i="5" s="1"/>
  <c r="F309" i="5"/>
  <c r="L309" i="5" s="1"/>
  <c r="F342" i="5"/>
  <c r="L342" i="5" s="1"/>
  <c r="F195" i="5"/>
  <c r="F442" i="5"/>
  <c r="F96" i="5"/>
  <c r="F361" i="5"/>
  <c r="F438" i="5"/>
  <c r="F322" i="5"/>
  <c r="F345" i="5"/>
  <c r="L345" i="5" s="1"/>
  <c r="F125" i="5"/>
  <c r="L125" i="5" s="1"/>
  <c r="F425" i="5"/>
  <c r="L425" i="5" s="1"/>
  <c r="F95" i="5"/>
  <c r="L95" i="5" s="1"/>
  <c r="F66" i="5"/>
  <c r="L66" i="5" s="1"/>
  <c r="F405" i="5"/>
  <c r="L405" i="5" s="1"/>
  <c r="F12" i="5"/>
  <c r="F302" i="5"/>
  <c r="F24" i="5"/>
  <c r="F114" i="5"/>
  <c r="F492" i="5"/>
  <c r="F5" i="5"/>
  <c r="F228" i="5"/>
  <c r="L228" i="5" s="1"/>
  <c r="F236" i="5"/>
  <c r="L236" i="5" s="1"/>
  <c r="F426" i="5"/>
  <c r="L426" i="5" s="1"/>
  <c r="F210" i="5"/>
  <c r="L210" i="5" s="1"/>
  <c r="F306" i="5"/>
  <c r="L306" i="5" s="1"/>
  <c r="F349" i="5"/>
  <c r="L349" i="5" s="1"/>
  <c r="F495" i="5"/>
  <c r="F350" i="5"/>
  <c r="F402" i="5"/>
  <c r="F172" i="5"/>
  <c r="F60" i="5"/>
  <c r="F325" i="5"/>
  <c r="F284" i="5"/>
  <c r="L284" i="5" s="1"/>
  <c r="F347" i="5"/>
  <c r="L347" i="5" s="1"/>
  <c r="F466" i="5"/>
  <c r="L466" i="5" s="1"/>
  <c r="F484" i="5"/>
  <c r="L484" i="5" s="1"/>
  <c r="F126" i="5"/>
  <c r="L126" i="5" s="1"/>
  <c r="F31" i="5"/>
  <c r="L31" i="5" s="1"/>
  <c r="F74" i="5"/>
  <c r="F93" i="5"/>
  <c r="F393" i="5"/>
  <c r="F166" i="5"/>
  <c r="F293" i="5"/>
  <c r="F490" i="5"/>
  <c r="F181" i="5"/>
  <c r="L181" i="5" s="1"/>
  <c r="F85" i="5"/>
  <c r="L85" i="5" s="1"/>
  <c r="F140" i="5"/>
  <c r="L140" i="5" s="1"/>
  <c r="F132" i="5"/>
  <c r="L132" i="5" s="1"/>
  <c r="F49" i="5"/>
  <c r="L49" i="5" s="1"/>
  <c r="F439" i="5"/>
  <c r="L439" i="5" s="1"/>
  <c r="F101" i="5"/>
  <c r="F416" i="5"/>
  <c r="F105" i="5"/>
  <c r="F212" i="5"/>
  <c r="F222" i="5"/>
  <c r="F275" i="5"/>
  <c r="F69" i="5"/>
  <c r="L69" i="5" s="1"/>
  <c r="F201" i="5"/>
  <c r="L201" i="5" s="1"/>
  <c r="F329" i="5"/>
  <c r="L329" i="5" s="1"/>
  <c r="F422" i="5"/>
  <c r="L422" i="5" s="1"/>
  <c r="F465" i="5"/>
  <c r="L465" i="5" s="1"/>
  <c r="F283" i="5"/>
  <c r="L283" i="5" s="1"/>
  <c r="F292" i="5"/>
  <c r="F221" i="5"/>
  <c r="F290" i="5"/>
  <c r="F272" i="5"/>
  <c r="F38" i="5"/>
  <c r="F17" i="5"/>
  <c r="F373" i="5"/>
  <c r="L373" i="5" s="1"/>
  <c r="F206" i="5"/>
  <c r="L206" i="5" s="1"/>
  <c r="F261" i="5"/>
  <c r="L261" i="5" s="1"/>
  <c r="F481" i="5"/>
  <c r="L481" i="5" s="1"/>
  <c r="F208" i="5"/>
  <c r="L208" i="5" s="1"/>
  <c r="F135" i="5"/>
  <c r="L135" i="5" s="1"/>
  <c r="F281" i="5"/>
  <c r="F335" i="5"/>
  <c r="F314" i="5"/>
  <c r="F313" i="5"/>
  <c r="F225" i="5"/>
  <c r="F112" i="5"/>
  <c r="F265" i="5"/>
  <c r="L265" i="5" s="1"/>
  <c r="F318" i="5"/>
  <c r="L318" i="5" s="1"/>
  <c r="F450" i="5"/>
  <c r="L450" i="5" s="1"/>
  <c r="F321" i="5"/>
  <c r="L321" i="5" s="1"/>
  <c r="F100" i="5"/>
  <c r="L100" i="5" s="1"/>
  <c r="F136" i="5"/>
  <c r="L136" i="5" s="1"/>
  <c r="F102" i="5"/>
  <c r="F493" i="5"/>
  <c r="F483" i="5"/>
  <c r="F219" i="5"/>
  <c r="F247" i="5"/>
  <c r="F412" i="5"/>
  <c r="F32" i="5"/>
  <c r="L32" i="5" s="1"/>
  <c r="F7" i="5"/>
  <c r="L7" i="5" s="1"/>
  <c r="F147" i="5"/>
  <c r="L147" i="5" s="1"/>
  <c r="F406" i="5"/>
  <c r="L406" i="5" s="1"/>
  <c r="F245" i="5"/>
  <c r="L245" i="5" s="1"/>
  <c r="F270" i="5"/>
  <c r="L270" i="5" s="1"/>
  <c r="F467" i="5"/>
  <c r="F266" i="5"/>
  <c r="F440" i="5"/>
  <c r="F317" i="5"/>
  <c r="F491" i="5"/>
  <c r="F389" i="5"/>
  <c r="F307" i="5"/>
  <c r="L307" i="5" s="1"/>
  <c r="F418" i="5"/>
  <c r="L418" i="5" s="1"/>
  <c r="F45" i="5"/>
  <c r="L45" i="5" s="1"/>
  <c r="F80" i="5"/>
  <c r="L80" i="5" s="1"/>
  <c r="F124" i="5"/>
  <c r="L124" i="5" s="1"/>
  <c r="F6" i="5"/>
  <c r="L6" i="5" s="1"/>
  <c r="F193" i="5"/>
  <c r="F81" i="5"/>
  <c r="F332" i="5"/>
  <c r="F333" i="5"/>
  <c r="F391" i="5"/>
  <c r="F16" i="5"/>
  <c r="F432" i="5"/>
  <c r="L432" i="5" s="1"/>
  <c r="F202" i="5"/>
  <c r="L202" i="5" s="1"/>
  <c r="F234" i="5"/>
  <c r="L234" i="5" s="1"/>
  <c r="F478" i="5"/>
  <c r="L478" i="5" s="1"/>
  <c r="F337" i="5"/>
  <c r="L337" i="5" s="1"/>
  <c r="F339" i="5"/>
  <c r="L339" i="5" s="1"/>
  <c r="F117" i="5"/>
  <c r="F141" i="5"/>
  <c r="F164" i="5"/>
  <c r="F273" i="5"/>
  <c r="F280" i="5"/>
  <c r="F327" i="5"/>
  <c r="F475" i="5"/>
  <c r="L475" i="5" s="1"/>
  <c r="F28" i="5"/>
  <c r="L28" i="5" s="1"/>
  <c r="F341" i="5"/>
  <c r="L341" i="5" s="1"/>
  <c r="F448" i="5"/>
  <c r="L448" i="5" s="1"/>
  <c r="F470" i="5"/>
  <c r="L470" i="5" s="1"/>
  <c r="F428" i="5"/>
  <c r="L428" i="5" s="1"/>
  <c r="F364" i="5"/>
  <c r="F323" i="5"/>
  <c r="F267" i="5"/>
  <c r="F8" i="5"/>
  <c r="F176" i="5"/>
  <c r="F399" i="5"/>
  <c r="F463" i="5"/>
  <c r="L463" i="5" s="1"/>
  <c r="F123" i="5"/>
  <c r="L123" i="5" s="1"/>
  <c r="F177" i="5"/>
  <c r="L177" i="5" s="1"/>
  <c r="F433" i="5"/>
  <c r="L433" i="5" s="1"/>
  <c r="F106" i="5"/>
  <c r="L106" i="5" s="1"/>
  <c r="F29" i="5"/>
  <c r="L29" i="5" s="1"/>
  <c r="F134" i="5"/>
  <c r="F48" i="5"/>
  <c r="F191" i="5"/>
  <c r="F110" i="5"/>
  <c r="F312" i="5"/>
  <c r="F175" i="5"/>
  <c r="F443" i="5"/>
  <c r="L443" i="5" s="1"/>
  <c r="F216" i="5"/>
  <c r="L216" i="5" s="1"/>
  <c r="F223" i="5"/>
  <c r="L223" i="5" s="1"/>
  <c r="F476" i="5"/>
  <c r="L476" i="5" s="1"/>
  <c r="F184" i="5"/>
  <c r="L184" i="5" s="1"/>
  <c r="F447" i="5"/>
  <c r="L447" i="5" s="1"/>
  <c r="F91" i="5"/>
  <c r="F107" i="5"/>
  <c r="F137" i="5"/>
  <c r="F121" i="5"/>
  <c r="F308" i="5"/>
  <c r="F120" i="5"/>
  <c r="F414" i="5"/>
  <c r="L414" i="5" s="1"/>
  <c r="F445" i="5"/>
  <c r="L445" i="5" s="1"/>
  <c r="F50" i="5"/>
  <c r="L50" i="5" s="1"/>
  <c r="F59" i="5"/>
  <c r="L59" i="5" s="1"/>
  <c r="F73" i="5"/>
  <c r="L73" i="5" s="1"/>
  <c r="F25" i="5"/>
  <c r="L25" i="5" s="1"/>
  <c r="F285" i="5"/>
  <c r="F42" i="5"/>
  <c r="F242" i="5"/>
  <c r="F381" i="5"/>
  <c r="F413" i="5"/>
  <c r="F430" i="5"/>
  <c r="F472" i="5"/>
  <c r="L472" i="5" s="1"/>
  <c r="F47" i="5"/>
  <c r="L47" i="5" s="1"/>
  <c r="F78" i="5"/>
  <c r="L78" i="5" s="1"/>
  <c r="F160" i="5"/>
  <c r="L160" i="5" s="1"/>
  <c r="F460" i="5"/>
  <c r="L460" i="5" s="1"/>
  <c r="F33" i="5"/>
  <c r="L33" i="5" s="1"/>
  <c r="F480" i="5"/>
  <c r="F75" i="5"/>
  <c r="F366" i="5"/>
  <c r="F133" i="5"/>
  <c r="F235" i="5"/>
  <c r="F185" i="5"/>
  <c r="F383" i="5"/>
  <c r="L383" i="5" s="1"/>
  <c r="F189" i="5"/>
  <c r="L189" i="5" s="1"/>
  <c r="F143" i="5"/>
  <c r="L143" i="5" s="1"/>
  <c r="F489" i="5"/>
  <c r="L489" i="5" s="1"/>
  <c r="F108" i="5"/>
  <c r="L108" i="5" s="1"/>
  <c r="F159" i="5"/>
  <c r="L159" i="5" s="1"/>
  <c r="F496" i="5"/>
  <c r="L75" i="5" l="1"/>
  <c r="L42" i="5"/>
  <c r="L107" i="5"/>
  <c r="L48" i="5"/>
  <c r="L323" i="5"/>
  <c r="L141" i="5"/>
  <c r="L81" i="5"/>
  <c r="L266" i="5"/>
  <c r="L493" i="5"/>
  <c r="L335" i="5"/>
  <c r="L221" i="5"/>
  <c r="L416" i="5"/>
  <c r="L93" i="5"/>
  <c r="L350" i="5"/>
  <c r="L302" i="5"/>
  <c r="L442" i="5"/>
  <c r="L113" i="5"/>
  <c r="L262" i="5"/>
  <c r="L427" i="5"/>
  <c r="L348" i="5"/>
  <c r="L41" i="5"/>
  <c r="L250" i="5"/>
  <c r="L446" i="5"/>
  <c r="L220" i="5"/>
  <c r="L315" i="5"/>
  <c r="L499" i="5"/>
  <c r="L229" i="5"/>
  <c r="L331" i="5"/>
  <c r="L37" i="5"/>
  <c r="L257" i="5"/>
  <c r="L352" i="5"/>
  <c r="L420" i="5"/>
  <c r="L39" i="5"/>
  <c r="L103" i="5"/>
  <c r="L11" i="5"/>
  <c r="L326" i="5"/>
  <c r="L396" i="5"/>
  <c r="L486" i="5"/>
  <c r="L311" i="5"/>
  <c r="L231" i="5"/>
  <c r="L199" i="5"/>
  <c r="L496" i="5"/>
  <c r="L480" i="5"/>
  <c r="L285" i="5"/>
  <c r="L91" i="5"/>
  <c r="L134" i="5"/>
  <c r="L364" i="5"/>
  <c r="L117" i="5"/>
  <c r="L193" i="5"/>
  <c r="L467" i="5"/>
  <c r="L102" i="5"/>
  <c r="L281" i="5"/>
  <c r="L292" i="5"/>
  <c r="L101" i="5"/>
  <c r="L74" i="5"/>
  <c r="L495" i="5"/>
  <c r="L12" i="5"/>
  <c r="L195" i="5"/>
  <c r="L21" i="5"/>
  <c r="L167" i="5"/>
  <c r="L244" i="5"/>
  <c r="L431" i="5"/>
  <c r="L421" i="5"/>
  <c r="L390" i="5"/>
  <c r="L461" i="5"/>
  <c r="L457" i="5"/>
  <c r="L119" i="5"/>
  <c r="L376" i="5"/>
  <c r="L151" i="5"/>
  <c r="L186" i="5"/>
  <c r="L248" i="5"/>
  <c r="L232" i="5"/>
  <c r="L218" i="5"/>
  <c r="L369" i="5"/>
  <c r="L97" i="5"/>
  <c r="L239" i="5"/>
  <c r="L338" i="5"/>
  <c r="L295" i="5"/>
  <c r="L163" i="5"/>
  <c r="L118" i="5"/>
  <c r="L310" i="5"/>
  <c r="L263" i="5"/>
  <c r="L494" i="5"/>
  <c r="L185" i="5"/>
  <c r="L120" i="5"/>
  <c r="L175" i="5"/>
  <c r="L327" i="5"/>
  <c r="L16" i="5"/>
  <c r="L389" i="5"/>
  <c r="L412" i="5"/>
  <c r="L112" i="5"/>
  <c r="L17" i="5"/>
  <c r="L275" i="5"/>
  <c r="L490" i="5"/>
  <c r="L325" i="5"/>
  <c r="L322" i="5"/>
  <c r="L485" i="5"/>
  <c r="L316" i="5"/>
  <c r="L397" i="5"/>
  <c r="L56" i="5"/>
  <c r="L10" i="5"/>
  <c r="L384" i="5"/>
  <c r="L498" i="5"/>
  <c r="L400" i="5"/>
  <c r="L382" i="5"/>
  <c r="L44" i="5"/>
  <c r="L237" i="5"/>
  <c r="L169" i="5"/>
  <c r="L456" i="5"/>
  <c r="L413" i="5"/>
  <c r="L312" i="5"/>
  <c r="L280" i="5"/>
  <c r="L247" i="5"/>
  <c r="L38" i="5"/>
  <c r="L293" i="5"/>
  <c r="L492" i="5"/>
  <c r="L122" i="5"/>
  <c r="L61" i="5"/>
  <c r="L408" i="5"/>
  <c r="L19" i="5"/>
  <c r="L55" i="5"/>
  <c r="L86" i="5"/>
  <c r="L26" i="5"/>
  <c r="L458" i="5"/>
  <c r="L76" i="5"/>
  <c r="L358" i="5"/>
  <c r="L57" i="5"/>
  <c r="L423" i="5"/>
  <c r="L133" i="5"/>
  <c r="L381" i="5"/>
  <c r="L121" i="5"/>
  <c r="L110" i="5"/>
  <c r="L8" i="5"/>
  <c r="L273" i="5"/>
  <c r="L333" i="5"/>
  <c r="L317" i="5"/>
  <c r="L219" i="5"/>
  <c r="L313" i="5"/>
  <c r="L272" i="5"/>
  <c r="L212" i="5"/>
  <c r="L166" i="5"/>
  <c r="L172" i="5"/>
  <c r="L114" i="5"/>
  <c r="L361" i="5"/>
  <c r="L469" i="5"/>
  <c r="L209" i="5"/>
  <c r="L276" i="5"/>
  <c r="L410" i="5"/>
  <c r="L473" i="5"/>
  <c r="L183" i="5"/>
  <c r="L145" i="5"/>
  <c r="L334" i="5"/>
  <c r="L497" i="5"/>
  <c r="L127" i="5"/>
  <c r="L152" i="5"/>
  <c r="L471" i="5"/>
  <c r="L482" i="5"/>
  <c r="L360" i="5"/>
  <c r="L279" i="5"/>
  <c r="L434" i="5"/>
  <c r="L305" i="5"/>
  <c r="L67" i="5"/>
  <c r="L139" i="5"/>
  <c r="L173" i="5"/>
  <c r="L407" i="5"/>
  <c r="L194" i="5"/>
  <c r="L14" i="5"/>
  <c r="L87" i="5"/>
  <c r="L259" i="5"/>
  <c r="L430" i="5"/>
  <c r="L399" i="5"/>
  <c r="L5" i="5"/>
  <c r="L264" i="5"/>
  <c r="L319" i="5"/>
  <c r="L488" i="5"/>
  <c r="L359" i="5"/>
  <c r="L477" i="5"/>
  <c r="L411" i="5"/>
  <c r="L203" i="5"/>
  <c r="L286" i="5"/>
  <c r="L51" i="5"/>
  <c r="L131" i="5"/>
  <c r="L9" i="5"/>
  <c r="L404" i="5"/>
  <c r="L500" i="5"/>
  <c r="L235" i="5"/>
  <c r="L308" i="5"/>
  <c r="L176" i="5"/>
  <c r="L391" i="5"/>
  <c r="L491" i="5"/>
  <c r="L225" i="5"/>
  <c r="L222" i="5"/>
  <c r="L60" i="5"/>
  <c r="L438" i="5"/>
  <c r="L301" i="5"/>
  <c r="L277" i="5"/>
  <c r="L22" i="5"/>
  <c r="L415" i="5"/>
  <c r="L451" i="5"/>
  <c r="L192" i="5"/>
  <c r="L401" i="5"/>
  <c r="L453" i="5"/>
  <c r="L253" i="5"/>
  <c r="L379" i="5"/>
  <c r="L98" i="5"/>
  <c r="L320" i="5"/>
  <c r="L370" i="5"/>
  <c r="L366" i="5"/>
  <c r="L242" i="5"/>
  <c r="L137" i="5"/>
  <c r="L191" i="5"/>
  <c r="L267" i="5"/>
  <c r="L164" i="5"/>
  <c r="L332" i="5"/>
  <c r="L440" i="5"/>
  <c r="L483" i="5"/>
  <c r="L314" i="5"/>
  <c r="L290" i="5"/>
  <c r="L105" i="5"/>
  <c r="L393" i="5"/>
  <c r="L402" i="5"/>
  <c r="L24" i="5"/>
  <c r="L96" i="5"/>
  <c r="L377" i="5"/>
  <c r="L459" i="5"/>
  <c r="L174" i="5"/>
  <c r="L297" i="5"/>
  <c r="L190" i="5"/>
  <c r="L252" i="5"/>
  <c r="L171" i="5"/>
  <c r="L116" i="5"/>
  <c r="L304" i="5"/>
  <c r="L15" i="5"/>
  <c r="L23" i="5"/>
  <c r="L454" i="5"/>
  <c r="L227" i="5"/>
  <c r="L294" i="5"/>
  <c r="L371" i="5"/>
  <c r="L65" i="5"/>
  <c r="L148" i="5"/>
  <c r="L353" i="5"/>
  <c r="L178" i="5"/>
  <c r="L354" i="5"/>
  <c r="L330" i="5"/>
  <c r="L449" i="5"/>
  <c r="L351" i="5"/>
  <c r="L187" i="5"/>
  <c r="L3" i="5"/>
  <c r="L502"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3A5A44-C7CD-40F6-BA65-C59ECC510DCC}" keepAlive="1" name="Query - Details" description="Connection to the 'Details' query in the workbook." type="5" refreshedVersion="8" background="1" saveData="1">
    <dbPr connection="Provider=Microsoft.Mashup.OleDb.1;Data Source=$Workbook$;Location=Details;Extended Properties=&quot;&quot;" command="SELECT * FROM [Details]"/>
  </connection>
  <connection id="2" xr16:uid="{557D555E-C91F-40A1-A195-19F0D8B6211B}"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3" xr16:uid="{1D652F5F-30EC-423C-9FCA-3D3A39535455}" keepAlive="1" name="Query - Orders (2)" description="Connection to the 'Orders (2)' query in the workbook." type="5" refreshedVersion="8" background="1" saveData="1">
    <dbPr connection="Provider=Microsoft.Mashup.OleDb.1;Data Source=$Workbook$;Location=&quot;Orders (2)&quot;;Extended Properties=&quot;&quot;" command="SELECT * FROM [Orders (2)]"/>
  </connection>
</connections>
</file>

<file path=xl/sharedStrings.xml><?xml version="1.0" encoding="utf-8"?>
<sst xmlns="http://schemas.openxmlformats.org/spreadsheetml/2006/main" count="10125" uniqueCount="967">
  <si>
    <t>Order ID</t>
  </si>
  <si>
    <t>Amount</t>
  </si>
  <si>
    <t>Profit</t>
  </si>
  <si>
    <t>Quantity</t>
  </si>
  <si>
    <t>Category</t>
  </si>
  <si>
    <t>Sub-Category</t>
  </si>
  <si>
    <t>PaymentMode</t>
  </si>
  <si>
    <t>B-25681</t>
  </si>
  <si>
    <t>Electronics</t>
  </si>
  <si>
    <t>Electronic Games</t>
  </si>
  <si>
    <t>COD</t>
  </si>
  <si>
    <t>B-26055</t>
  </si>
  <si>
    <t>Furniture</t>
  </si>
  <si>
    <t>Chairs</t>
  </si>
  <si>
    <t>EMI</t>
  </si>
  <si>
    <t>B-25955</t>
  </si>
  <si>
    <t>Bookcases</t>
  </si>
  <si>
    <t>B-26093</t>
  </si>
  <si>
    <t>Printers</t>
  </si>
  <si>
    <t>Credit Card</t>
  </si>
  <si>
    <t>B-25602</t>
  </si>
  <si>
    <t>Phones</t>
  </si>
  <si>
    <t>B-25881</t>
  </si>
  <si>
    <t>Clothing</t>
  </si>
  <si>
    <t>Trousers</t>
  </si>
  <si>
    <t>B-25696</t>
  </si>
  <si>
    <t>Saree</t>
  </si>
  <si>
    <t>B-25687</t>
  </si>
  <si>
    <t>UPI</t>
  </si>
  <si>
    <t>B-25643</t>
  </si>
  <si>
    <t>Hankerchief</t>
  </si>
  <si>
    <t>B-25851</t>
  </si>
  <si>
    <t>Kurti</t>
  </si>
  <si>
    <t>B-25703</t>
  </si>
  <si>
    <t>B-25887</t>
  </si>
  <si>
    <t>B-25923</t>
  </si>
  <si>
    <t>B-25756</t>
  </si>
  <si>
    <t>B-25761</t>
  </si>
  <si>
    <t>B-25655</t>
  </si>
  <si>
    <t>B-25786</t>
  </si>
  <si>
    <t>B-26095</t>
  </si>
  <si>
    <t>B-25853</t>
  </si>
  <si>
    <t>B-25735</t>
  </si>
  <si>
    <t>Skirt</t>
  </si>
  <si>
    <t>B-25910</t>
  </si>
  <si>
    <t>Tables</t>
  </si>
  <si>
    <t>B-25950</t>
  </si>
  <si>
    <t>B-25744</t>
  </si>
  <si>
    <t>B-25845</t>
  </si>
  <si>
    <t>B-26001</t>
  </si>
  <si>
    <t>B-25830</t>
  </si>
  <si>
    <t>B-25842</t>
  </si>
  <si>
    <t>B-25778</t>
  </si>
  <si>
    <t>B-25686</t>
  </si>
  <si>
    <t>B-25754</t>
  </si>
  <si>
    <t>B-26048</t>
  </si>
  <si>
    <t>B-25816</t>
  </si>
  <si>
    <t>Stole</t>
  </si>
  <si>
    <t>B-26022</t>
  </si>
  <si>
    <t>B-25883</t>
  </si>
  <si>
    <t>B-26003</t>
  </si>
  <si>
    <t>B-26097</t>
  </si>
  <si>
    <t>B-25710</t>
  </si>
  <si>
    <t>Leggings</t>
  </si>
  <si>
    <t>B-25797</t>
  </si>
  <si>
    <t>B-25618</t>
  </si>
  <si>
    <t>B-25723</t>
  </si>
  <si>
    <t>B-25755</t>
  </si>
  <si>
    <t>B-25788</t>
  </si>
  <si>
    <t>B-25991</t>
  </si>
  <si>
    <t>B-25779</t>
  </si>
  <si>
    <t>B-25909</t>
  </si>
  <si>
    <t>B-25943</t>
  </si>
  <si>
    <t>Accessories</t>
  </si>
  <si>
    <t>B-25935</t>
  </si>
  <si>
    <t>B-25613</t>
  </si>
  <si>
    <t>B-25729</t>
  </si>
  <si>
    <t>B-25772</t>
  </si>
  <si>
    <t>B-25640</t>
  </si>
  <si>
    <t>B-25810</t>
  </si>
  <si>
    <t>B-25801</t>
  </si>
  <si>
    <t>T-shirt</t>
  </si>
  <si>
    <t>Debit Card</t>
  </si>
  <si>
    <t>B-26085</t>
  </si>
  <si>
    <t>B-25868</t>
  </si>
  <si>
    <t>B-25714</t>
  </si>
  <si>
    <t>B-25784</t>
  </si>
  <si>
    <t>B-25608</t>
  </si>
  <si>
    <t>B-26051</t>
  </si>
  <si>
    <t>B-25900</t>
  </si>
  <si>
    <t>B-25760</t>
  </si>
  <si>
    <t>B-25762</t>
  </si>
  <si>
    <t>B-25995</t>
  </si>
  <si>
    <t>B-25965</t>
  </si>
  <si>
    <t>B-25967</t>
  </si>
  <si>
    <t>B-25674</t>
  </si>
  <si>
    <t>B-25929</t>
  </si>
  <si>
    <t>B-25777</t>
  </si>
  <si>
    <t>B-26006</t>
  </si>
  <si>
    <t>B-25697</t>
  </si>
  <si>
    <t>B-25667</t>
  </si>
  <si>
    <t>B-25836</t>
  </si>
  <si>
    <t>B-25984</t>
  </si>
  <si>
    <t>B-25728</t>
  </si>
  <si>
    <t>B-25757</t>
  </si>
  <si>
    <t>B-25957</t>
  </si>
  <si>
    <t>B-26061</t>
  </si>
  <si>
    <t>B-25616</t>
  </si>
  <si>
    <t>B-25666</t>
  </si>
  <si>
    <t>B-25675</t>
  </si>
  <si>
    <t>B-26079</t>
  </si>
  <si>
    <t>B-25850</t>
  </si>
  <si>
    <t>B-25693</t>
  </si>
  <si>
    <t>B-25852</t>
  </si>
  <si>
    <t>B-25860</t>
  </si>
  <si>
    <t>B-25898</t>
  </si>
  <si>
    <t>B-26100</t>
  </si>
  <si>
    <t>B-25653</t>
  </si>
  <si>
    <t>B-25839</t>
  </si>
  <si>
    <t>B-25651</t>
  </si>
  <si>
    <t>B-25704</t>
  </si>
  <si>
    <t>B-25730</t>
  </si>
  <si>
    <t>B-26052</t>
  </si>
  <si>
    <t>B-25656</t>
  </si>
  <si>
    <t>B-26033</t>
  </si>
  <si>
    <t>B-25945</t>
  </si>
  <si>
    <t>B-26086</t>
  </si>
  <si>
    <t>B-25752</t>
  </si>
  <si>
    <t>B-26098</t>
  </si>
  <si>
    <t>B-26067</t>
  </si>
  <si>
    <t>B-25986</t>
  </si>
  <si>
    <t>Furnishings</t>
  </si>
  <si>
    <t>B-25953</t>
  </si>
  <si>
    <t>B-25952</t>
  </si>
  <si>
    <t>B-25903</t>
  </si>
  <si>
    <t>B-25650</t>
  </si>
  <si>
    <t>B-25970</t>
  </si>
  <si>
    <t>B-26062</t>
  </si>
  <si>
    <t>B-25632</t>
  </si>
  <si>
    <t>B-25821</t>
  </si>
  <si>
    <t>B-25878</t>
  </si>
  <si>
    <t>B-25750</t>
  </si>
  <si>
    <t>Shirt</t>
  </si>
  <si>
    <t>B-25657</t>
  </si>
  <si>
    <t>B-25787</t>
  </si>
  <si>
    <t>B-25808</t>
  </si>
  <si>
    <t>B-25885</t>
  </si>
  <si>
    <t>B-25759</t>
  </si>
  <si>
    <t>B-25747</t>
  </si>
  <si>
    <t>B-25603</t>
  </si>
  <si>
    <t>B-25691</t>
  </si>
  <si>
    <t>B-25607</t>
  </si>
  <si>
    <t>B-25708</t>
  </si>
  <si>
    <t>B-26021</t>
  </si>
  <si>
    <t>B-25831</t>
  </si>
  <si>
    <t>B-25670</t>
  </si>
  <si>
    <t>B-26029</t>
  </si>
  <si>
    <t>B-25959</t>
  </si>
  <si>
    <t>B-25676</t>
  </si>
  <si>
    <t>B-25888</t>
  </si>
  <si>
    <t>B-25911</t>
  </si>
  <si>
    <t>B-25662</t>
  </si>
  <si>
    <t>B-25847</t>
  </si>
  <si>
    <t>B-25796</t>
  </si>
  <si>
    <t>B-25993</t>
  </si>
  <si>
    <t>B-25930</t>
  </si>
  <si>
    <t>B-25785</t>
  </si>
  <si>
    <t>B-26053</t>
  </si>
  <si>
    <t>B-26019</t>
  </si>
  <si>
    <t>B-26070</t>
  </si>
  <si>
    <t>B-25870</t>
  </si>
  <si>
    <t>B-25855</t>
  </si>
  <si>
    <t>B-25803</t>
  </si>
  <si>
    <t>B-25996</t>
  </si>
  <si>
    <t>B-26078</t>
  </si>
  <si>
    <t>B-25682</t>
  </si>
  <si>
    <t>B-25749</t>
  </si>
  <si>
    <t>B-25962</t>
  </si>
  <si>
    <t>B-25899</t>
  </si>
  <si>
    <t>B-25951</t>
  </si>
  <si>
    <t>B-25828</t>
  </si>
  <si>
    <t>B-25658</t>
  </si>
  <si>
    <t>B-25698</t>
  </si>
  <si>
    <t>B-25832</t>
  </si>
  <si>
    <t>B-25886</t>
  </si>
  <si>
    <t>B-25897</t>
  </si>
  <si>
    <t>B-25873</t>
  </si>
  <si>
    <t>B-25858</t>
  </si>
  <si>
    <t>B-25867</t>
  </si>
  <si>
    <t>B-25633</t>
  </si>
  <si>
    <t>B-25609</t>
  </si>
  <si>
    <t>B-25896</t>
  </si>
  <si>
    <t>B-26000</t>
  </si>
  <si>
    <t>B-25940</t>
  </si>
  <si>
    <t>B-26087</t>
  </si>
  <si>
    <t>B-25980</t>
  </si>
  <si>
    <t>B-25877</t>
  </si>
  <si>
    <t>B-25905</t>
  </si>
  <si>
    <t>B-25818</t>
  </si>
  <si>
    <t>B-25835</t>
  </si>
  <si>
    <t>B-26081</t>
  </si>
  <si>
    <t>B-25837</t>
  </si>
  <si>
    <t>B-25893</t>
  </si>
  <si>
    <t>B-25689</t>
  </si>
  <si>
    <t>B-26028</t>
  </si>
  <si>
    <t>B-25654</t>
  </si>
  <si>
    <t>B-25720</t>
  </si>
  <si>
    <t>B-26057</t>
  </si>
  <si>
    <t>B-25798</t>
  </si>
  <si>
    <t>B-25961</t>
  </si>
  <si>
    <t>B-25701</t>
  </si>
  <si>
    <t>B-26056</t>
  </si>
  <si>
    <t>B-26016</t>
  </si>
  <si>
    <t>B-25819</t>
  </si>
  <si>
    <t>B-25848</t>
  </si>
  <si>
    <t>B-25678</t>
  </si>
  <si>
    <t>B-25925</t>
  </si>
  <si>
    <t>B-25977</t>
  </si>
  <si>
    <t>B-25648</t>
  </si>
  <si>
    <t>B-25933</t>
  </si>
  <si>
    <t>B-25942</t>
  </si>
  <si>
    <t>B-25673</t>
  </si>
  <si>
    <t>B-25791</t>
  </si>
  <si>
    <t>B-25983</t>
  </si>
  <si>
    <t>B-25743</t>
  </si>
  <si>
    <t>B-25973</t>
  </si>
  <si>
    <t>B-25895</t>
  </si>
  <si>
    <t>B-25717</t>
  </si>
  <si>
    <t>B-26064</t>
  </si>
  <si>
    <t>B-25630</t>
  </si>
  <si>
    <t>B-26050</t>
  </si>
  <si>
    <t>B-26035</t>
  </si>
  <si>
    <t>B-25966</t>
  </si>
  <si>
    <t>B-26060</t>
  </si>
  <si>
    <t>B-25854</t>
  </si>
  <si>
    <t>B-25964</t>
  </si>
  <si>
    <t>B-25628</t>
  </si>
  <si>
    <t>B-25891</t>
  </si>
  <si>
    <t>B-26089</t>
  </si>
  <si>
    <t>B-25621</t>
  </si>
  <si>
    <t>B-25727</t>
  </si>
  <si>
    <t>B-25843</t>
  </si>
  <si>
    <t>B-25741</t>
  </si>
  <si>
    <t>B-26096</t>
  </si>
  <si>
    <t>B-26007</t>
  </si>
  <si>
    <t>B-26088</t>
  </si>
  <si>
    <t>B-25664</t>
  </si>
  <si>
    <t>B-25642</t>
  </si>
  <si>
    <t>B-25987</t>
  </si>
  <si>
    <t>B-25770</t>
  </si>
  <si>
    <t>B-25840</t>
  </si>
  <si>
    <t>B-25846</t>
  </si>
  <si>
    <t>B-25745</t>
  </si>
  <si>
    <t>B-26073</t>
  </si>
  <si>
    <t>B-26030</t>
  </si>
  <si>
    <t>B-25989</t>
  </si>
  <si>
    <t>B-26009</t>
  </si>
  <si>
    <t>B-25915</t>
  </si>
  <si>
    <t>B-25645</t>
  </si>
  <si>
    <t>B-25635</t>
  </si>
  <si>
    <t>B-26038</t>
  </si>
  <si>
    <t>B-26014</t>
  </si>
  <si>
    <t>B-25751</t>
  </si>
  <si>
    <t>B-26025</t>
  </si>
  <si>
    <t>B-25981</t>
  </si>
  <si>
    <t>B-25610</t>
  </si>
  <si>
    <t>B-25733</t>
  </si>
  <si>
    <t>B-25612</t>
  </si>
  <si>
    <t>B-25700</t>
  </si>
  <si>
    <t>B-25856</t>
  </si>
  <si>
    <t>B-26026</t>
  </si>
  <si>
    <t>B-25861</t>
  </si>
  <si>
    <t>B-25799</t>
  </si>
  <si>
    <t>B-26054</t>
  </si>
  <si>
    <t>B-25660</t>
  </si>
  <si>
    <t>B-26045</t>
  </si>
  <si>
    <t>B-25781</t>
  </si>
  <si>
    <t>B-25918</t>
  </si>
  <si>
    <t>B-25971</t>
  </si>
  <si>
    <t>B-25699</t>
  </si>
  <si>
    <t>B-25776</t>
  </si>
  <si>
    <t>B-25985</t>
  </si>
  <si>
    <t>B-26063</t>
  </si>
  <si>
    <t>B-26032</t>
  </si>
  <si>
    <t>B-25767</t>
  </si>
  <si>
    <t>B-26023</t>
  </si>
  <si>
    <t>B-25809</t>
  </si>
  <si>
    <t>B-25688</t>
  </si>
  <si>
    <t>B-25753</t>
  </si>
  <si>
    <t>B-25773</t>
  </si>
  <si>
    <t>B-25661</t>
  </si>
  <si>
    <t>B-25857</t>
  </si>
  <si>
    <t>B-25999</t>
  </si>
  <si>
    <t>B-25926</t>
  </si>
  <si>
    <t>B-26076</t>
  </si>
  <si>
    <t>B-25913</t>
  </si>
  <si>
    <t>B-26020</t>
  </si>
  <si>
    <t>B-26083</t>
  </si>
  <si>
    <t>B-25625</t>
  </si>
  <si>
    <t>B-26010</t>
  </si>
  <si>
    <t>B-25979</t>
  </si>
  <si>
    <t>B-26002</t>
  </si>
  <si>
    <t>B-26084</t>
  </si>
  <si>
    <t>B-25998</t>
  </si>
  <si>
    <t>B-25872</t>
  </si>
  <si>
    <t>B-25795</t>
  </si>
  <si>
    <t>B-25902</t>
  </si>
  <si>
    <t>B-25793</t>
  </si>
  <si>
    <t>B-25652</t>
  </si>
  <si>
    <t>B-26018</t>
  </si>
  <si>
    <t>B-25823</t>
  </si>
  <si>
    <t>B-25994</t>
  </si>
  <si>
    <t>B-25863</t>
  </si>
  <si>
    <t>B-25680</t>
  </si>
  <si>
    <t>B-25737</t>
  </si>
  <si>
    <t>B-25875</t>
  </si>
  <si>
    <t>B-26031</t>
  </si>
  <si>
    <t>B-25908</t>
  </si>
  <si>
    <t>B-26041</t>
  </si>
  <si>
    <t>B-25794</t>
  </si>
  <si>
    <t>B-25615</t>
  </si>
  <si>
    <t>B-25997</t>
  </si>
  <si>
    <t>B-25990</t>
  </si>
  <si>
    <t>B-26091</t>
  </si>
  <si>
    <t>B-25604</t>
  </si>
  <si>
    <t>B-25724</t>
  </si>
  <si>
    <t>B-25748</t>
  </si>
  <si>
    <t>B-26004</t>
  </si>
  <si>
    <t>B-25954</t>
  </si>
  <si>
    <t>B-26043</t>
  </si>
  <si>
    <t>B-25838</t>
  </si>
  <si>
    <t>B-26042</t>
  </si>
  <si>
    <t>B-26008</t>
  </si>
  <si>
    <t>B-25927</t>
  </si>
  <si>
    <t>B-25948</t>
  </si>
  <si>
    <t>B-26094</t>
  </si>
  <si>
    <t>B-25623</t>
  </si>
  <si>
    <t>B-25800</t>
  </si>
  <si>
    <t>B-26039</t>
  </si>
  <si>
    <t>B-25620</t>
  </si>
  <si>
    <t>B-25721</t>
  </si>
  <si>
    <t>B-25764</t>
  </si>
  <si>
    <t>B-26066</t>
  </si>
  <si>
    <t>B-25712</t>
  </si>
  <si>
    <t>B-25738</t>
  </si>
  <si>
    <t>B-25771</t>
  </si>
  <si>
    <t>B-25601</t>
  </si>
  <si>
    <t>B-25844</t>
  </si>
  <si>
    <t>B-26065</t>
  </si>
  <si>
    <t>B-25825</t>
  </si>
  <si>
    <t>B-25765</t>
  </si>
  <si>
    <t>B-25709</t>
  </si>
  <si>
    <t>B-25684</t>
  </si>
  <si>
    <t>B-25739</t>
  </si>
  <si>
    <t>B-26082</t>
  </si>
  <si>
    <t>B-25731</t>
  </si>
  <si>
    <t>B-25719</t>
  </si>
  <si>
    <t>B-25646</t>
  </si>
  <si>
    <t>B-25874</t>
  </si>
  <si>
    <t>B-25638</t>
  </si>
  <si>
    <t>B-25882</t>
  </si>
  <si>
    <t>B-26040</t>
  </si>
  <si>
    <t>B-26037</t>
  </si>
  <si>
    <t>B-25920</t>
  </si>
  <si>
    <t>B-25960</t>
  </si>
  <si>
    <t>B-25917</t>
  </si>
  <si>
    <t>B-25972</t>
  </si>
  <si>
    <t>B-25736</t>
  </si>
  <si>
    <t>B-25742</t>
  </si>
  <si>
    <t>B-25641</t>
  </si>
  <si>
    <t>B-25958</t>
  </si>
  <si>
    <t>B-25802</t>
  </si>
  <si>
    <t>B-25834</t>
  </si>
  <si>
    <t>B-25774</t>
  </si>
  <si>
    <t>B-25904</t>
  </si>
  <si>
    <t>B-25934</t>
  </si>
  <si>
    <t>B-25912</t>
  </si>
  <si>
    <t>B-25647</t>
  </si>
  <si>
    <t>B-25901</t>
  </si>
  <si>
    <t>B-25804</t>
  </si>
  <si>
    <t>B-25734</t>
  </si>
  <si>
    <t>B-25711</t>
  </si>
  <si>
    <t>B-25864</t>
  </si>
  <si>
    <t>B-25949</t>
  </si>
  <si>
    <t>B-25805</t>
  </si>
  <si>
    <t>B-25919</t>
  </si>
  <si>
    <t>B-25889</t>
  </si>
  <si>
    <t>B-25637</t>
  </si>
  <si>
    <t>B-25783</t>
  </si>
  <si>
    <t>B-25938</t>
  </si>
  <si>
    <t>B-25820</t>
  </si>
  <si>
    <t>B-25924</t>
  </si>
  <si>
    <t>B-25814</t>
  </si>
  <si>
    <t>B-25631</t>
  </si>
  <si>
    <t>B-25956</t>
  </si>
  <si>
    <t>B-25862</t>
  </si>
  <si>
    <t>B-25606</t>
  </si>
  <si>
    <t>B-25928</t>
  </si>
  <si>
    <t>B-26005</t>
  </si>
  <si>
    <t>B-25963</t>
  </si>
  <si>
    <t>B-25683</t>
  </si>
  <si>
    <t>B-25914</t>
  </si>
  <si>
    <t>B-25869</t>
  </si>
  <si>
    <t>B-25921</t>
  </si>
  <si>
    <t>B-25849</t>
  </si>
  <si>
    <t>B-25780</t>
  </si>
  <si>
    <t>B-25892</t>
  </si>
  <si>
    <t>B-25988</t>
  </si>
  <si>
    <t>B-25939</t>
  </si>
  <si>
    <t>B-25906</t>
  </si>
  <si>
    <t>B-26017</t>
  </si>
  <si>
    <t>B-25644</t>
  </si>
  <si>
    <t>B-25679</t>
  </si>
  <si>
    <t>B-25792</t>
  </si>
  <si>
    <t>B-25946</t>
  </si>
  <si>
    <t>B-25992</t>
  </si>
  <si>
    <t>B-25659</t>
  </si>
  <si>
    <t>B-25716</t>
  </si>
  <si>
    <t>B-25725</t>
  </si>
  <si>
    <t>B-25932</t>
  </si>
  <si>
    <t>B-25789</t>
  </si>
  <si>
    <t>B-25732</t>
  </si>
  <si>
    <t>B-25871</t>
  </si>
  <si>
    <t>B-25611</t>
  </si>
  <si>
    <t>B-25833</t>
  </si>
  <si>
    <t>B-25665</t>
  </si>
  <si>
    <t>B-25694</t>
  </si>
  <si>
    <t>B-25668</t>
  </si>
  <si>
    <t>B-26024</t>
  </si>
  <si>
    <t>B-25827</t>
  </si>
  <si>
    <t>B-25713</t>
  </si>
  <si>
    <t>B-25944</t>
  </si>
  <si>
    <t>B-25695</t>
  </si>
  <si>
    <t>B-25880</t>
  </si>
  <si>
    <t>B-25941</t>
  </si>
  <si>
    <t>B-25706</t>
  </si>
  <si>
    <t>B-25969</t>
  </si>
  <si>
    <t>B-25763</t>
  </si>
  <si>
    <t>B-25740</t>
  </si>
  <si>
    <t>B-25879</t>
  </si>
  <si>
    <t>B-25614</t>
  </si>
  <si>
    <t>B-26092</t>
  </si>
  <si>
    <t>B-26011</t>
  </si>
  <si>
    <t>B-26074</t>
  </si>
  <si>
    <t>B-25976</t>
  </si>
  <si>
    <t>B-25865</t>
  </si>
  <si>
    <t>B-26049</t>
  </si>
  <si>
    <t>B-26047</t>
  </si>
  <si>
    <t>B-25766</t>
  </si>
  <si>
    <t>B-25947</t>
  </si>
  <si>
    <t>B-26069</t>
  </si>
  <si>
    <t>B-25627</t>
  </si>
  <si>
    <t>B-26027</t>
  </si>
  <si>
    <t>B-26068</t>
  </si>
  <si>
    <t>B-26080</t>
  </si>
  <si>
    <t>B-26012</t>
  </si>
  <si>
    <t>B-25824</t>
  </si>
  <si>
    <t>B-25922</t>
  </si>
  <si>
    <t>B-26099</t>
  </si>
  <si>
    <t>B-25866</t>
  </si>
  <si>
    <t>B-25775</t>
  </si>
  <si>
    <t>B-25685</t>
  </si>
  <si>
    <t>B-26090</t>
  </si>
  <si>
    <t>B-26072</t>
  </si>
  <si>
    <t>B-25916</t>
  </si>
  <si>
    <t>B-25722</t>
  </si>
  <si>
    <t>B-25746</t>
  </si>
  <si>
    <t>B-25812</t>
  </si>
  <si>
    <t>B-25605</t>
  </si>
  <si>
    <t>B-25702</t>
  </si>
  <si>
    <t>B-25626</t>
  </si>
  <si>
    <t>B-25811</t>
  </si>
  <si>
    <t>B-25876</t>
  </si>
  <si>
    <t>B-25931</t>
  </si>
  <si>
    <t>B-25663</t>
  </si>
  <si>
    <t>B-25677</t>
  </si>
  <si>
    <t>B-25617</t>
  </si>
  <si>
    <t>B-26036</t>
  </si>
  <si>
    <t>B-25978</t>
  </si>
  <si>
    <t>B-26077</t>
  </si>
  <si>
    <t>B-25790</t>
  </si>
  <si>
    <t>B-25829</t>
  </si>
  <si>
    <t>B-25705</t>
  </si>
  <si>
    <t>B-25936</t>
  </si>
  <si>
    <t>B-25782</t>
  </si>
  <si>
    <t>B-25769</t>
  </si>
  <si>
    <t>B-25718</t>
  </si>
  <si>
    <t>B-25715</t>
  </si>
  <si>
    <t>B-26075</t>
  </si>
  <si>
    <t>B-25634</t>
  </si>
  <si>
    <t>B-26015</t>
  </si>
  <si>
    <t>B-25822</t>
  </si>
  <si>
    <t>B-26034</t>
  </si>
  <si>
    <t>B-25692</t>
  </si>
  <si>
    <t>B-26046</t>
  </si>
  <si>
    <t>B-25622</t>
  </si>
  <si>
    <t>B-25690</t>
  </si>
  <si>
    <t>B-25726</t>
  </si>
  <si>
    <t>B-25907</t>
  </si>
  <si>
    <t>B-26013</t>
  </si>
  <si>
    <t>B-25975</t>
  </si>
  <si>
    <t>B-25815</t>
  </si>
  <si>
    <t>B-25619</t>
  </si>
  <si>
    <t>B-26058</t>
  </si>
  <si>
    <t>B-26044</t>
  </si>
  <si>
    <t>B-25636</t>
  </si>
  <si>
    <t>B-25649</t>
  </si>
  <si>
    <t>B-25806</t>
  </si>
  <si>
    <t>B-25826</t>
  </si>
  <si>
    <t>B-25624</t>
  </si>
  <si>
    <t>B-25974</t>
  </si>
  <si>
    <t>B-25884</t>
  </si>
  <si>
    <t>B-25672</t>
  </si>
  <si>
    <t>B-25859</t>
  </si>
  <si>
    <t>B-25817</t>
  </si>
  <si>
    <t>B-25968</t>
  </si>
  <si>
    <t>B-25671</t>
  </si>
  <si>
    <t>B-26059</t>
  </si>
  <si>
    <t>B-25669</t>
  </si>
  <si>
    <t>B-25841</t>
  </si>
  <si>
    <t>B-26071</t>
  </si>
  <si>
    <t>B-25813</t>
  </si>
  <si>
    <t>B-25890</t>
  </si>
  <si>
    <t>B-25807</t>
  </si>
  <si>
    <t>B-25937</t>
  </si>
  <si>
    <t>B-25982</t>
  </si>
  <si>
    <t>B-25639</t>
  </si>
  <si>
    <t>B-25894</t>
  </si>
  <si>
    <t>B-25768</t>
  </si>
  <si>
    <t>B-25629</t>
  </si>
  <si>
    <t>B-25758</t>
  </si>
  <si>
    <t>B-25707</t>
  </si>
  <si>
    <t>Order Date</t>
  </si>
  <si>
    <t>CustomerName</t>
  </si>
  <si>
    <t>State</t>
  </si>
  <si>
    <t>City</t>
  </si>
  <si>
    <t>Harivansh</t>
  </si>
  <si>
    <t>Uttar Pradesh</t>
  </si>
  <si>
    <t>Mathura</t>
  </si>
  <si>
    <t>Madhav</t>
  </si>
  <si>
    <t>Delhi</t>
  </si>
  <si>
    <t>Madan Mohan</t>
  </si>
  <si>
    <t>Gopal</t>
  </si>
  <si>
    <t>Maharashtra</t>
  </si>
  <si>
    <t>Mumbai</t>
  </si>
  <si>
    <t>Vishakha</t>
  </si>
  <si>
    <t>Madhya Pradesh</t>
  </si>
  <si>
    <t>Indore</t>
  </si>
  <si>
    <t>Sudevi</t>
  </si>
  <si>
    <t>Prayagraj</t>
  </si>
  <si>
    <t>Shiva</t>
  </si>
  <si>
    <t>Pune</t>
  </si>
  <si>
    <t>Sarita</t>
  </si>
  <si>
    <t>Shishu</t>
  </si>
  <si>
    <t>Andhra Pradesh</t>
  </si>
  <si>
    <t>Hyderabad</t>
  </si>
  <si>
    <t>Vrinda</t>
  </si>
  <si>
    <t>Uudhav</t>
  </si>
  <si>
    <t>Shreyshi</t>
  </si>
  <si>
    <t>Gujarat</t>
  </si>
  <si>
    <t>Surat</t>
  </si>
  <si>
    <t>Bhishm</t>
  </si>
  <si>
    <t>Yogesh</t>
  </si>
  <si>
    <t>Lalita</t>
  </si>
  <si>
    <t>Rohan</t>
  </si>
  <si>
    <t>Gaurav</t>
  </si>
  <si>
    <t>Ahmedabad</t>
  </si>
  <si>
    <t>Amol</t>
  </si>
  <si>
    <t>Bihar</t>
  </si>
  <si>
    <t>Patna</t>
  </si>
  <si>
    <t>Aastha</t>
  </si>
  <si>
    <t>Himachal Pradesh</t>
  </si>
  <si>
    <t>Simla</t>
  </si>
  <si>
    <t>Pooja</t>
  </si>
  <si>
    <t>Shrichand</t>
  </si>
  <si>
    <t>Punjab</t>
  </si>
  <si>
    <t>Chandigarh</t>
  </si>
  <si>
    <t>Hitesh</t>
  </si>
  <si>
    <t>Bhopal</t>
  </si>
  <si>
    <t>Shourya</t>
  </si>
  <si>
    <t xml:space="preserve">Kerala </t>
  </si>
  <si>
    <t>Thiruvananthapuram</t>
  </si>
  <si>
    <t>Ishpreet</t>
  </si>
  <si>
    <t>Sudhir</t>
  </si>
  <si>
    <t>Nagaland</t>
  </si>
  <si>
    <t>Kohima</t>
  </si>
  <si>
    <t>Sauptik</t>
  </si>
  <si>
    <t>Lisha</t>
  </si>
  <si>
    <t>Bhawna</t>
  </si>
  <si>
    <t>Sujay</t>
  </si>
  <si>
    <t>Jay</t>
  </si>
  <si>
    <t>Shruti</t>
  </si>
  <si>
    <t>Mohan</t>
  </si>
  <si>
    <t>Haryana</t>
  </si>
  <si>
    <t>Neha</t>
  </si>
  <si>
    <t>Rajasthan</t>
  </si>
  <si>
    <t>Udaipur</t>
  </si>
  <si>
    <t>Shreyoshe</t>
  </si>
  <si>
    <t>Karnataka</t>
  </si>
  <si>
    <t>Bangalore</t>
  </si>
  <si>
    <t>Hemant</t>
  </si>
  <si>
    <t>Madhulika</t>
  </si>
  <si>
    <t>Shardul</t>
  </si>
  <si>
    <t>Sheetal</t>
  </si>
  <si>
    <t>Pournamasi</t>
  </si>
  <si>
    <t>Surabhi</t>
  </si>
  <si>
    <t>Manshul</t>
  </si>
  <si>
    <t>Lucknow</t>
  </si>
  <si>
    <t>Parth</t>
  </si>
  <si>
    <t>Siddharth</t>
  </si>
  <si>
    <t>Priyanka</t>
  </si>
  <si>
    <t>Aarushi</t>
  </si>
  <si>
    <t>Tamil Nadu</t>
  </si>
  <si>
    <t>Chennai</t>
  </si>
  <si>
    <t>Vaibhav</t>
  </si>
  <si>
    <t>Savi</t>
  </si>
  <si>
    <t>Jahan</t>
  </si>
  <si>
    <t>Parishi</t>
  </si>
  <si>
    <t>West Bengal</t>
  </si>
  <si>
    <t>Kolkata</t>
  </si>
  <si>
    <t>Farah</t>
  </si>
  <si>
    <t>Abhijeet</t>
  </si>
  <si>
    <t>Anudeep</t>
  </si>
  <si>
    <t>Yohann</t>
  </si>
  <si>
    <t>Girase</t>
  </si>
  <si>
    <t>Arpita</t>
  </si>
  <si>
    <t>Vijay</t>
  </si>
  <si>
    <t>Jammu and Kashmir</t>
  </si>
  <si>
    <t>Kashmir</t>
  </si>
  <si>
    <t>Arti</t>
  </si>
  <si>
    <t>Bharat</t>
  </si>
  <si>
    <t>Divyeta</t>
  </si>
  <si>
    <t>Manju</t>
  </si>
  <si>
    <t>Oshin</t>
  </si>
  <si>
    <t>Chandni</t>
  </si>
  <si>
    <t>Jaipur</t>
  </si>
  <si>
    <t>Pranjali</t>
  </si>
  <si>
    <t>Monu</t>
  </si>
  <si>
    <t>Amritsar</t>
  </si>
  <si>
    <t>Krutika</t>
  </si>
  <si>
    <t>Sanjana</t>
  </si>
  <si>
    <t>Mahima</t>
  </si>
  <si>
    <t>Rishabh</t>
  </si>
  <si>
    <t>Dashyam</t>
  </si>
  <si>
    <t>Tulika</t>
  </si>
  <si>
    <t>Nripraj</t>
  </si>
  <si>
    <t>Vikash</t>
  </si>
  <si>
    <t>Goa</t>
  </si>
  <si>
    <t>Mukesh</t>
  </si>
  <si>
    <t>Ankit</t>
  </si>
  <si>
    <t>Aditi</t>
  </si>
  <si>
    <t>Ayush</t>
  </si>
  <si>
    <t>Parin</t>
  </si>
  <si>
    <t>Kirti</t>
  </si>
  <si>
    <t>Ameesha</t>
  </si>
  <si>
    <t>Anjali</t>
  </si>
  <si>
    <t>Shivam</t>
  </si>
  <si>
    <t>Anurag</t>
  </si>
  <si>
    <t>Shaily</t>
  </si>
  <si>
    <t>Tanvi</t>
  </si>
  <si>
    <t>Shreya</t>
  </si>
  <si>
    <t>Chirag</t>
  </si>
  <si>
    <t>Shweta</t>
  </si>
  <si>
    <t>Abhishek</t>
  </si>
  <si>
    <t>Hrisheekesh</t>
  </si>
  <si>
    <t>Kartik</t>
  </si>
  <si>
    <t>Trupti</t>
  </si>
  <si>
    <t>Noopur</t>
  </si>
  <si>
    <t>Harsh</t>
  </si>
  <si>
    <t>Swapnil</t>
  </si>
  <si>
    <t>Soumyabrata</t>
  </si>
  <si>
    <t>Amruta</t>
  </si>
  <si>
    <t>Aishwarya</t>
  </si>
  <si>
    <t>Pranav</t>
  </si>
  <si>
    <t>Sahil</t>
  </si>
  <si>
    <t>Mitali</t>
  </si>
  <si>
    <t>Hitika</t>
  </si>
  <si>
    <t>Paromita</t>
  </si>
  <si>
    <t>Jitesh</t>
  </si>
  <si>
    <t>Pratyusmita</t>
  </si>
  <si>
    <t>Atharv</t>
  </si>
  <si>
    <t>Ajay</t>
  </si>
  <si>
    <t>Diwakar</t>
  </si>
  <si>
    <t>Rutuja</t>
  </si>
  <si>
    <t>Sanjova</t>
  </si>
  <si>
    <t>Shivanshu</t>
  </si>
  <si>
    <t>Mhatre</t>
  </si>
  <si>
    <t>Snel</t>
  </si>
  <si>
    <t>Praneet</t>
  </si>
  <si>
    <t>Jesal</t>
  </si>
  <si>
    <t>Rhea</t>
  </si>
  <si>
    <t>Mrinal</t>
  </si>
  <si>
    <t>Sharda</t>
  </si>
  <si>
    <t>Shatayu</t>
  </si>
  <si>
    <t>Chikku</t>
  </si>
  <si>
    <t>Akancha</t>
  </si>
  <si>
    <t>Amit</t>
  </si>
  <si>
    <t>Sikkim</t>
  </si>
  <si>
    <t>Gangtok</t>
  </si>
  <si>
    <t>Kishwar</t>
  </si>
  <si>
    <t>Muskan</t>
  </si>
  <si>
    <t>Shubham</t>
  </si>
  <si>
    <t>Vini</t>
  </si>
  <si>
    <t>Manisha</t>
  </si>
  <si>
    <t>Charika</t>
  </si>
  <si>
    <t>Ankur</t>
  </si>
  <si>
    <t>Aniket</t>
  </si>
  <si>
    <t>Nishi</t>
  </si>
  <si>
    <t>Tanushree</t>
  </si>
  <si>
    <t>Pinky</t>
  </si>
  <si>
    <t>Yash</t>
  </si>
  <si>
    <t>Parna</t>
  </si>
  <si>
    <t>Sukrith</t>
  </si>
  <si>
    <t>Dhanraj</t>
  </si>
  <si>
    <t>Megha</t>
  </si>
  <si>
    <t>Piyali</t>
  </si>
  <si>
    <t>Anand</t>
  </si>
  <si>
    <t>Monica</t>
  </si>
  <si>
    <t>Avish</t>
  </si>
  <si>
    <t>Atul</t>
  </si>
  <si>
    <t>Shivangi</t>
  </si>
  <si>
    <t>Mayank</t>
  </si>
  <si>
    <t>Kasheen</t>
  </si>
  <si>
    <t>Asish</t>
  </si>
  <si>
    <t>Tejeswini</t>
  </si>
  <si>
    <t>Priyanshu</t>
  </si>
  <si>
    <t>Nikita</t>
  </si>
  <si>
    <t>Monisha</t>
  </si>
  <si>
    <t>Nishant</t>
  </si>
  <si>
    <t>Kartikay</t>
  </si>
  <si>
    <t>Amisha</t>
  </si>
  <si>
    <t>Soumya</t>
  </si>
  <si>
    <t>Harshita</t>
  </si>
  <si>
    <t>Aman</t>
  </si>
  <si>
    <t>Brijesh</t>
  </si>
  <si>
    <t>Vandana</t>
  </si>
  <si>
    <t>Kiran</t>
  </si>
  <si>
    <t>Paridhi</t>
  </si>
  <si>
    <t>Navdeep</t>
  </si>
  <si>
    <t>Bhaggyasree</t>
  </si>
  <si>
    <t>Vineet</t>
  </si>
  <si>
    <t>Divyansha</t>
  </si>
  <si>
    <t>Kajal</t>
  </si>
  <si>
    <t>Amlan</t>
  </si>
  <si>
    <t>Sabah</t>
  </si>
  <si>
    <t>Surbhi</t>
  </si>
  <si>
    <t>Hazel</t>
  </si>
  <si>
    <t>Sonal</t>
  </si>
  <si>
    <t>Srishti</t>
  </si>
  <si>
    <t>Shikhar</t>
  </si>
  <si>
    <t>Divsha</t>
  </si>
  <si>
    <t>Nida</t>
  </si>
  <si>
    <t>Mane</t>
  </si>
  <si>
    <t>Sanjay</t>
  </si>
  <si>
    <t>Sathya</t>
  </si>
  <si>
    <t>Sanjna</t>
  </si>
  <si>
    <t>Sweta</t>
  </si>
  <si>
    <t>Nidhi</t>
  </si>
  <si>
    <t>Sakshi</t>
  </si>
  <si>
    <t>Devendra</t>
  </si>
  <si>
    <t>Aparajita</t>
  </si>
  <si>
    <t>Ramesh</t>
  </si>
  <si>
    <t>Swetha</t>
  </si>
  <si>
    <t>Apoorva</t>
  </si>
  <si>
    <t>Stuti</t>
  </si>
  <si>
    <t>K</t>
  </si>
  <si>
    <t>Kushal</t>
  </si>
  <si>
    <t>Aayushi</t>
  </si>
  <si>
    <t>Deepak</t>
  </si>
  <si>
    <t>Prashant</t>
  </si>
  <si>
    <t>Bathina</t>
  </si>
  <si>
    <t>Turumella</t>
  </si>
  <si>
    <t>Sudheer</t>
  </si>
  <si>
    <t>Akshay</t>
  </si>
  <si>
    <t>Sagar</t>
  </si>
  <si>
    <t>Ashmeet</t>
  </si>
  <si>
    <t>Manjiri</t>
  </si>
  <si>
    <t>Sneha</t>
  </si>
  <si>
    <t>Chetan</t>
  </si>
  <si>
    <t>Komal</t>
  </si>
  <si>
    <t>Bhosale</t>
  </si>
  <si>
    <t>Sukruta</t>
  </si>
  <si>
    <t>Sukant</t>
  </si>
  <si>
    <t>Yaanvi</t>
  </si>
  <si>
    <t>Palak</t>
  </si>
  <si>
    <t>Kshitij</t>
  </si>
  <si>
    <t>Mrunal</t>
  </si>
  <si>
    <t>Kanak</t>
  </si>
  <si>
    <t>Divyeshkumar</t>
  </si>
  <si>
    <t>Karandeep</t>
  </si>
  <si>
    <t>Ekta</t>
  </si>
  <si>
    <t>Subhashree</t>
  </si>
  <si>
    <t>Nitant</t>
  </si>
  <si>
    <t>Aayush</t>
  </si>
  <si>
    <t>Aditya</t>
  </si>
  <si>
    <t>Apsingekar</t>
  </si>
  <si>
    <t>Anita</t>
  </si>
  <si>
    <t>Tushina</t>
  </si>
  <si>
    <t>Kalyani</t>
  </si>
  <si>
    <t>Divyansh</t>
  </si>
  <si>
    <t>Ginny</t>
  </si>
  <si>
    <t>Omkar</t>
  </si>
  <si>
    <t>Adhvaita</t>
  </si>
  <si>
    <t>Piyam</t>
  </si>
  <si>
    <t>Shefali</t>
  </si>
  <si>
    <t>Anchal</t>
  </si>
  <si>
    <t>Manibalan</t>
  </si>
  <si>
    <t>Mansi</t>
  </si>
  <si>
    <t>Pradeep</t>
  </si>
  <si>
    <t>Jaideep</t>
  </si>
  <si>
    <t>Ritu</t>
  </si>
  <si>
    <t>Suhani</t>
  </si>
  <si>
    <t>Sandra</t>
  </si>
  <si>
    <t>Syed</t>
  </si>
  <si>
    <t>Subhasmita</t>
  </si>
  <si>
    <t>Chayanika</t>
  </si>
  <si>
    <t>Nandita</t>
  </si>
  <si>
    <t>Suraj</t>
  </si>
  <si>
    <t>Raksha</t>
  </si>
  <si>
    <t>Moumita</t>
  </si>
  <si>
    <t>Bhavna</t>
  </si>
  <si>
    <t>Suman</t>
  </si>
  <si>
    <t>Bhargav</t>
  </si>
  <si>
    <t>Mukund</t>
  </si>
  <si>
    <t>Shantanu</t>
  </si>
  <si>
    <t>Patil</t>
  </si>
  <si>
    <t>Vaibhavi</t>
  </si>
  <si>
    <t>Sanskriti</t>
  </si>
  <si>
    <t>Prajakta</t>
  </si>
  <si>
    <t>Saptadeep</t>
  </si>
  <si>
    <t>Saurabh</t>
  </si>
  <si>
    <t>Anisha</t>
  </si>
  <si>
    <t>Arsheen</t>
  </si>
  <si>
    <t>Rashmi</t>
  </si>
  <si>
    <t>Meghana</t>
  </si>
  <si>
    <t>Teena</t>
  </si>
  <si>
    <t>Samiksha</t>
  </si>
  <si>
    <t>Daksh</t>
  </si>
  <si>
    <t>Akash</t>
  </si>
  <si>
    <t>Shubhi</t>
  </si>
  <si>
    <t>Riya</t>
  </si>
  <si>
    <t>Utsav</t>
  </si>
  <si>
    <t>Ishit</t>
  </si>
  <si>
    <t>Smriti</t>
  </si>
  <si>
    <t>Ankita</t>
  </si>
  <si>
    <t>Masurkar</t>
  </si>
  <si>
    <t>Shivani</t>
  </si>
  <si>
    <t>Dheeraj</t>
  </si>
  <si>
    <t>Gunjal</t>
  </si>
  <si>
    <t>Ashmi</t>
  </si>
  <si>
    <t>Jesslyn</t>
  </si>
  <si>
    <t>Sonakshi</t>
  </si>
  <si>
    <t>Vipul</t>
  </si>
  <si>
    <t>Apoorv</t>
  </si>
  <si>
    <t>Rahul</t>
  </si>
  <si>
    <t>Geetanjali</t>
  </si>
  <si>
    <t>Preksha</t>
  </si>
  <si>
    <t>Shyam</t>
  </si>
  <si>
    <t>Aromal</t>
  </si>
  <si>
    <t>Jayanti</t>
  </si>
  <si>
    <t>Kritika</t>
  </si>
  <si>
    <t>Arindam</t>
  </si>
  <si>
    <t>Maithilee</t>
  </si>
  <si>
    <t>Sandeep</t>
  </si>
  <si>
    <t>Soodesh</t>
  </si>
  <si>
    <t>Parnavi</t>
  </si>
  <si>
    <t>Swati</t>
  </si>
  <si>
    <t>Parakh</t>
  </si>
  <si>
    <t>Arun</t>
  </si>
  <si>
    <t>Utkarsh</t>
  </si>
  <si>
    <t>Nirja</t>
  </si>
  <si>
    <t>Abhijit</t>
  </si>
  <si>
    <t>Avni</t>
  </si>
  <si>
    <t>Wale</t>
  </si>
  <si>
    <t>Sidharth</t>
  </si>
  <si>
    <t>Bhutekar</t>
  </si>
  <si>
    <t>Mugdha</t>
  </si>
  <si>
    <t>Aryan</t>
  </si>
  <si>
    <t>Krishna</t>
  </si>
  <si>
    <t>Nikhil</t>
  </si>
  <si>
    <t>Rane</t>
  </si>
  <si>
    <t>Noshiba</t>
  </si>
  <si>
    <t>Dipali</t>
  </si>
  <si>
    <t>Vivek</t>
  </si>
  <si>
    <t>Pratiksha</t>
  </si>
  <si>
    <t>Akshata</t>
  </si>
  <si>
    <t>Duhita</t>
  </si>
  <si>
    <t>Anmol</t>
  </si>
  <si>
    <t>Inderpreet</t>
  </si>
  <si>
    <t>Mousam</t>
  </si>
  <si>
    <t>Dhirajendu</t>
  </si>
  <si>
    <t>Sajal</t>
  </si>
  <si>
    <t>Aakanksha</t>
  </si>
  <si>
    <t>Phalguni</t>
  </si>
  <si>
    <t>Snehal</t>
  </si>
  <si>
    <t>Manish</t>
  </si>
  <si>
    <t>Tejas</t>
  </si>
  <si>
    <t>Pearl</t>
  </si>
  <si>
    <t>Gunjan</t>
  </si>
  <si>
    <t>Swetlana</t>
  </si>
  <si>
    <t>Akshat</t>
  </si>
  <si>
    <t>Namrata</t>
  </si>
  <si>
    <t>Jaydeep</t>
  </si>
  <si>
    <t>Rachna</t>
  </si>
  <si>
    <t>Akanksha</t>
  </si>
  <si>
    <t>Sumeet</t>
  </si>
  <si>
    <t>Ashvini</t>
  </si>
  <si>
    <t>Saloni</t>
  </si>
  <si>
    <t>Anubhaw</t>
  </si>
  <si>
    <t>Ananya</t>
  </si>
  <si>
    <t>Rohit</t>
  </si>
  <si>
    <t>Hemangi</t>
  </si>
  <si>
    <t>Dinesh</t>
  </si>
  <si>
    <t>Ashwin</t>
  </si>
  <si>
    <t>Payment Mode</t>
  </si>
  <si>
    <t>Row Labels</t>
  </si>
  <si>
    <t>Grand Total</t>
  </si>
  <si>
    <t>Jan</t>
  </si>
  <si>
    <t>Feb</t>
  </si>
  <si>
    <t>Mar</t>
  </si>
  <si>
    <t>Sum of Profit</t>
  </si>
  <si>
    <t>Sum of Quantity</t>
  </si>
  <si>
    <t>Sum of Amount</t>
  </si>
  <si>
    <t>Sum of AOV</t>
  </si>
  <si>
    <t>Qtr1</t>
  </si>
  <si>
    <t>AOV</t>
  </si>
  <si>
    <t>Sum of PositiveProfit</t>
  </si>
  <si>
    <t>Sum of NegativeProfit</t>
  </si>
  <si>
    <t>Overall Performance</t>
  </si>
  <si>
    <t>The overall numbers show stable performance with solid profitability per order.</t>
  </si>
  <si>
    <t>Geographic Performance</t>
  </si>
  <si>
    <t>The concentration of revenue in a single state indicates a potential geographic dependency that should be monitored.</t>
  </si>
  <si>
    <t>Customer Insights</t>
  </si>
  <si>
    <t>This suggests that a small group of customers contributes disproportionately to total revenue—prime targets for retention strategies.</t>
  </si>
  <si>
    <t>Category &amp; Payment Behavior</t>
  </si>
  <si>
    <t>EMI, UPI, Credit Card, and Debit Card share the remaining 53%, but none come close to COD.</t>
  </si>
  <si>
    <t>Product Profitability</t>
  </si>
  <si>
    <t>Monthly Trend Analysis</t>
  </si>
  <si>
    <t>March dips significantly, signaling potential seasonality or operational issues that need attention.</t>
  </si>
  <si>
    <t>Total sales amount reached 69K, supported by 678 units sold.</t>
  </si>
  <si>
    <t>Profit stands at 13K, resulting in a strong Average Order Value (AOV) of 18K.</t>
  </si>
  <si>
    <t>Pune leads all regions with 9K in sales, outperforming other states such as Mathura, Indore, Delhi, and Chandigarh (each around 6K).</t>
  </si>
  <si>
    <t>Harivansh is the highest-value customer at 5.7K, nearly doubling other key customers such as Sarita, Shiva, Shrichand, and Shruti.</t>
  </si>
  <si>
    <t>Clothing dominates quantity share at 56%, followed by Electronics (24%) and Furniture (20%).</t>
  </si>
  <si>
    <t>On payment methods, COD accounts for 47%, far higher than digital payments. This may impact cash flow consistency and return rates.</t>
  </si>
  <si>
    <t>Top profit drivers are Phones, Bookcases, and Accessories, each contributing around 2K.</t>
  </si>
  <si>
    <t>Lower-performing sub-categories include Printers and Chairs (~1K each), indicating potential pricing or inventory inefficiencies.</t>
  </si>
  <si>
    <t>February shows the highest monthly profit, outperforming January and March.</t>
  </si>
  <si>
    <t>Strategics Takeaways</t>
  </si>
  <si>
    <t>1. Strengthen MVP Product Line</t>
  </si>
  <si>
    <t>Focus sales and marketing efforts on:</t>
  </si>
  <si>
    <t>These drive consistent margin and carry high upsell potential.</t>
  </si>
  <si>
    <t>2. Leverage Clothing Volume</t>
  </si>
  <si>
    <t>Clothing moves the fastest. Use it as:</t>
  </si>
  <si>
    <r>
      <t xml:space="preserve">A </t>
    </r>
    <r>
      <rPr>
        <b/>
        <sz val="11"/>
        <color theme="1"/>
        <rFont val="Aptos Narrow"/>
        <family val="2"/>
        <scheme val="minor"/>
      </rPr>
      <t>traffic generator</t>
    </r>
  </si>
  <si>
    <r>
      <t xml:space="preserve">A </t>
    </r>
    <r>
      <rPr>
        <b/>
        <sz val="11"/>
        <color theme="1"/>
        <rFont val="Aptos Narrow"/>
        <family val="2"/>
        <scheme val="minor"/>
      </rPr>
      <t>bundle component</t>
    </r>
  </si>
  <si>
    <r>
      <t xml:space="preserve">A </t>
    </r>
    <r>
      <rPr>
        <b/>
        <sz val="11"/>
        <color theme="1"/>
        <rFont val="Aptos Narrow"/>
        <family val="2"/>
        <scheme val="minor"/>
      </rPr>
      <t>margin enhancer</t>
    </r>
    <r>
      <rPr>
        <sz val="11"/>
        <color theme="1"/>
        <rFont val="Aptos Narrow"/>
        <family val="2"/>
        <scheme val="minor"/>
      </rPr>
      <t xml:space="preserve"> through targeted offers</t>
    </r>
  </si>
  <si>
    <t>3. Reduce Geographic &amp; Customer Dependency</t>
  </si>
  <si>
    <t>Expand beyond Pune with micro-campaigns.</t>
  </si>
  <si>
    <t>Build loyalty structures for top 5 customers to prevent churn.</t>
  </si>
  <si>
    <t>4. Shift Away From COD</t>
  </si>
  <si>
    <t>COD is holding back operational efficiency.</t>
  </si>
  <si>
    <t>Introduce:</t>
  </si>
  <si>
    <t>Digital-only flash discounts</t>
  </si>
  <si>
    <t>Loyalty rewards</t>
  </si>
  <si>
    <t>“Pay now, express shipping” perks</t>
  </si>
  <si>
    <t>Phones, Bookcases, Accessories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</si>
</sst>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K"/>
    <numFmt numFmtId="165" formatCode="#,##0\K"/>
  </numFmts>
  <fonts count="3" x14ac:knownFonts="1">
    <font>
      <sz val="11"/>
      <color theme="1"/>
      <name val="Aptos Narrow"/>
      <family val="2"/>
      <scheme val="minor"/>
    </font>
    <font>
      <b/>
      <sz val="11"/>
      <color theme="1"/>
      <name val="Aptos Narrow"/>
      <family val="2"/>
      <scheme val="minor"/>
    </font>
    <font>
      <b/>
      <sz val="13.5"/>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0" fontId="0" fillId="0" borderId="0" xfId="0" applyNumberFormat="1"/>
    <xf numFmtId="0" fontId="2" fillId="0" borderId="0" xfId="0" applyFont="1" applyAlignment="1">
      <alignment vertical="center"/>
    </xf>
    <xf numFmtId="0" fontId="0" fillId="0" borderId="0" xfId="0" applyAlignment="1">
      <alignment horizontal="left" vertical="center" indent="1"/>
    </xf>
  </cellXfs>
  <cellStyles count="1">
    <cellStyle name="Normal" xfId="0" builtinId="0"/>
  </cellStyles>
  <dxfs count="3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164" formatCode="#,\K"/>
    </dxf>
    <dxf>
      <fill>
        <patternFill patternType="none">
          <bgColor auto="1"/>
        </patternFill>
      </fill>
    </dxf>
    <dxf>
      <font>
        <strike val="0"/>
      </font>
      <fill>
        <patternFill patternType="solid">
          <bgColor theme="0"/>
        </patternFill>
      </fill>
      <border diagonalUp="1" diagonalDown="1">
        <left/>
        <right/>
        <top/>
        <bottom/>
        <diagonal style="medium">
          <color rgb="FFC00000"/>
        </diagonal>
        <vertical/>
        <horizontal/>
      </border>
    </dxf>
  </dxfs>
  <tableStyles count="1" defaultTableStyle="TableStyleMedium2" defaultPivotStyle="PivotStyleLight16">
    <tableStyle name="Slicer Style 1" pivot="0" table="0" count="9" xr9:uid="{FE7EADEA-97B3-4CDE-9796-377D97CEB12D}">
      <tableStyleElement type="wholeTable" dxfId="35"/>
      <tableStyleElement type="headerRow" dxfId="34"/>
    </tableStyle>
  </tableStyles>
  <colors>
    <mruColors>
      <color rgb="FFB5B5B5"/>
      <color rgb="FF9B9B9B"/>
      <color rgb="FFFFFFFF"/>
      <color rgb="FF6F6F6F"/>
      <color rgb="FFFF0D0D"/>
      <color rgb="FFFF7575"/>
      <color rgb="FFFF6600"/>
    </mruColors>
  </colors>
  <extLst>
    <ext xmlns:x14="http://schemas.microsoft.com/office/spreadsheetml/2009/9/main" uri="{46F421CA-312F-682f-3DD2-61675219B42D}">
      <x14:dxfs count="7">
        <dxf>
          <fill>
            <patternFill patternType="none">
              <bgColor auto="1"/>
            </patternFill>
          </fill>
        </dxf>
        <dxf>
          <fill>
            <patternFill patternType="none">
              <bgColor auto="1"/>
            </patternFill>
          </fill>
        </dxf>
        <dxf>
          <font>
            <color theme="0"/>
          </font>
          <fill>
            <patternFill patternType="solid">
              <bgColor rgb="FFB5B5B5"/>
            </patternFill>
          </fill>
        </dxf>
        <dxf>
          <fill>
            <patternFill patternType="none">
              <bgColor auto="1"/>
            </patternFill>
          </fill>
        </dxf>
        <dxf>
          <font>
            <b/>
            <i val="0"/>
            <color rgb="FFFFFFFF"/>
          </font>
          <fill>
            <patternFill>
              <bgColor rgb="FF6F6F6F"/>
            </patternFill>
          </fill>
          <border diagonalUp="0" diagonalDown="0">
            <left/>
            <right/>
            <top/>
            <bottom/>
            <vertical/>
            <horizontal/>
          </border>
        </dxf>
        <dxf>
          <fill>
            <patternFill patternType="none">
              <bgColor auto="1"/>
            </patternFill>
          </fill>
        </dxf>
        <dxf>
          <font>
            <color theme="0"/>
          </font>
          <fill>
            <patternFill>
              <bgColor rgb="FF9B9B9B"/>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Analysis.xlsx]PivotTables!PivotTable11</c:name>
    <c:fmtId val="2"/>
  </c:pivotSource>
  <c:chart>
    <c:title>
      <c:tx>
        <c:rich>
          <a:bodyPr rot="0" spcFirstLastPara="1" vertOverflow="ellipsis" vert="horz" wrap="square" anchor="ctr" anchorCtr="1"/>
          <a:lstStyle/>
          <a:p>
            <a:pPr>
              <a:defRPr sz="1000" b="0" i="0" u="none" strike="noStrike" kern="1200" spc="0" baseline="0">
                <a:ln>
                  <a:noFill/>
                </a:ln>
                <a:solidFill>
                  <a:schemeClr val="bg1">
                    <a:alpha val="80000"/>
                  </a:schemeClr>
                </a:solidFill>
                <a:latin typeface="+mn-lt"/>
                <a:ea typeface="+mn-ea"/>
                <a:cs typeface="+mn-cs"/>
              </a:defRPr>
            </a:pPr>
            <a:r>
              <a:rPr lang="en-US" sz="1000" baseline="0">
                <a:solidFill>
                  <a:schemeClr val="bg1">
                    <a:alpha val="80000"/>
                  </a:schemeClr>
                </a:solidFill>
              </a:rPr>
              <a:t>Amount</a:t>
            </a:r>
          </a:p>
        </c:rich>
      </c:tx>
      <c:layout>
        <c:manualLayout>
          <c:xMode val="edge"/>
          <c:yMode val="edge"/>
          <c:x val="0.32992270175687988"/>
          <c:y val="0.71870521505663143"/>
        </c:manualLayout>
      </c:layout>
      <c:overlay val="0"/>
      <c:spPr>
        <a:noFill/>
        <a:ln>
          <a:noFill/>
        </a:ln>
        <a:effectLst/>
      </c:spPr>
      <c:txPr>
        <a:bodyPr rot="0" spcFirstLastPara="1" vertOverflow="ellipsis" vert="horz" wrap="square" anchor="ctr" anchorCtr="1"/>
        <a:lstStyle/>
        <a:p>
          <a:pPr>
            <a:defRPr sz="1000" b="0" i="0" u="none" strike="noStrike" kern="1200" spc="0" baseline="0">
              <a:ln>
                <a:noFill/>
              </a:ln>
              <a:solidFill>
                <a:schemeClr val="bg1">
                  <a:alpha val="8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ysClr val="windowText" lastClr="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a:noFill/>
          </a:ln>
          <a:effectLst/>
        </c:spPr>
        <c:dLbl>
          <c:idx val="0"/>
          <c:layout>
            <c:manualLayout>
              <c:x val="-0.10166444083320042"/>
              <c:y val="0.22448352364929908"/>
            </c:manualLayout>
          </c:layout>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ln>
                    <a:noFill/>
                  </a:ln>
                  <a:solidFill>
                    <a:schemeClr val="bg1"/>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76814520154324961"/>
                  <c:h val="0.56106665955441748"/>
                </c:manualLayout>
              </c15:layout>
            </c:ext>
          </c:extLst>
        </c:dLbl>
      </c:pivotFmt>
    </c:pivotFmts>
    <c:plotArea>
      <c:layout/>
      <c:barChart>
        <c:barDir val="col"/>
        <c:grouping val="clustered"/>
        <c:varyColors val="0"/>
        <c:ser>
          <c:idx val="0"/>
          <c:order val="0"/>
          <c:tx>
            <c:strRef>
              <c:f>PivotTables!$A$28</c:f>
              <c:strCache>
                <c:ptCount val="1"/>
                <c:pt idx="0">
                  <c:v>Total</c:v>
                </c:pt>
              </c:strCache>
            </c:strRef>
          </c:tx>
          <c:spPr>
            <a:solidFill>
              <a:sysClr val="windowText" lastClr="000000"/>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1-7B29-43E0-9810-81254EB55B2A}"/>
              </c:ext>
            </c:extLst>
          </c:dPt>
          <c:dLbls>
            <c:dLbl>
              <c:idx val="0"/>
              <c:layout>
                <c:manualLayout>
                  <c:x val="-0.10166444083320042"/>
                  <c:y val="0.22448352364929908"/>
                </c:manualLayout>
              </c:layout>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ln>
                        <a:noFill/>
                      </a:ln>
                      <a:solidFill>
                        <a:schemeClr val="bg1"/>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76814520154324961"/>
                      <c:h val="0.56106665955441748"/>
                    </c:manualLayout>
                  </c15:layout>
                </c:ext>
                <c:ext xmlns:c16="http://schemas.microsoft.com/office/drawing/2014/chart" uri="{C3380CC4-5D6E-409C-BE32-E72D297353CC}">
                  <c16:uniqueId val="{00000001-7B29-43E0-9810-81254EB55B2A}"/>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PivotTables!$A$29</c:f>
              <c:strCache>
                <c:ptCount val="1"/>
                <c:pt idx="0">
                  <c:v>Total</c:v>
                </c:pt>
              </c:strCache>
            </c:strRef>
          </c:cat>
          <c:val>
            <c:numRef>
              <c:f>PivotTables!$A$29</c:f>
              <c:numCache>
                <c:formatCode>#,\K</c:formatCode>
                <c:ptCount val="1"/>
                <c:pt idx="0">
                  <c:v>68540</c:v>
                </c:pt>
              </c:numCache>
            </c:numRef>
          </c:val>
          <c:extLst>
            <c:ext xmlns:c16="http://schemas.microsoft.com/office/drawing/2014/chart" uri="{C3380CC4-5D6E-409C-BE32-E72D297353CC}">
              <c16:uniqueId val="{00000000-7B29-43E0-9810-81254EB55B2A}"/>
            </c:ext>
          </c:extLst>
        </c:ser>
        <c:dLbls>
          <c:showLegendKey val="0"/>
          <c:showVal val="0"/>
          <c:showCatName val="0"/>
          <c:showSerName val="0"/>
          <c:showPercent val="0"/>
          <c:showBubbleSize val="0"/>
        </c:dLbls>
        <c:gapWidth val="219"/>
        <c:overlap val="-27"/>
        <c:axId val="297460608"/>
        <c:axId val="297462528"/>
      </c:barChart>
      <c:catAx>
        <c:axId val="29746060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ln>
                  <a:noFill/>
                </a:ln>
                <a:noFill/>
                <a:latin typeface="+mn-lt"/>
                <a:ea typeface="+mn-ea"/>
                <a:cs typeface="+mn-cs"/>
              </a:defRPr>
            </a:pPr>
            <a:endParaRPr lang="en-US"/>
          </a:p>
        </c:txPr>
        <c:crossAx val="297462528"/>
        <c:crosses val="autoZero"/>
        <c:auto val="1"/>
        <c:lblAlgn val="ctr"/>
        <c:lblOffset val="100"/>
        <c:noMultiLvlLbl val="0"/>
      </c:catAx>
      <c:valAx>
        <c:axId val="297462528"/>
        <c:scaling>
          <c:orientation val="minMax"/>
        </c:scaling>
        <c:delete val="0"/>
        <c:axPos val="l"/>
        <c:majorGridlines>
          <c:spPr>
            <a:ln w="9525" cap="flat" cmpd="sng" algn="ctr">
              <a:noFill/>
              <a:round/>
            </a:ln>
            <a:effectLst/>
          </c:spPr>
        </c:majorGridlines>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noFill/>
                <a:latin typeface="+mn-lt"/>
                <a:ea typeface="+mn-ea"/>
                <a:cs typeface="+mn-cs"/>
              </a:defRPr>
            </a:pPr>
            <a:endParaRPr lang="en-US"/>
          </a:p>
        </c:txPr>
        <c:crossAx val="29746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Analysis.xlsx]PivotTables!PivotTable18</c:name>
    <c:fmtId val="2"/>
  </c:pivotSource>
  <c:chart>
    <c:title>
      <c:tx>
        <c:rich>
          <a:bodyPr rot="0" spcFirstLastPara="1" vertOverflow="ellipsis" vert="horz" wrap="square" anchor="ctr" anchorCtr="1"/>
          <a:lstStyle/>
          <a:p>
            <a:pPr>
              <a:defRPr sz="1000" b="0" i="0" u="none" strike="noStrike" kern="1200" spc="0" baseline="0">
                <a:solidFill>
                  <a:schemeClr val="bg1">
                    <a:alpha val="80000"/>
                  </a:schemeClr>
                </a:solidFill>
                <a:latin typeface="+mn-lt"/>
                <a:ea typeface="+mn-ea"/>
                <a:cs typeface="+mn-cs"/>
              </a:defRPr>
            </a:pPr>
            <a:r>
              <a:rPr lang="en-US" sz="1000" b="0" baseline="0">
                <a:solidFill>
                  <a:schemeClr val="bg1">
                    <a:alpha val="80000"/>
                  </a:schemeClr>
                </a:solidFill>
              </a:rPr>
              <a:t>Quantity</a:t>
            </a:r>
          </a:p>
        </c:rich>
      </c:tx>
      <c:layout>
        <c:manualLayout>
          <c:xMode val="edge"/>
          <c:yMode val="edge"/>
          <c:x val="0.31237848645605726"/>
          <c:y val="0.6968495296056425"/>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bg1">
                  <a:alpha val="8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noFill/>
          <a:ln>
            <a:noFill/>
          </a:ln>
          <a:effectLst/>
        </c:spPr>
        <c:dLbl>
          <c:idx val="0"/>
          <c:layout>
            <c:manualLayout>
              <c:x val="-0.12662334425213614"/>
              <c:y val="0.14173210771640188"/>
            </c:manualLayout>
          </c:layout>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69818163969177849"/>
                  <c:h val="0.38940896595081415"/>
                </c:manualLayout>
              </c15:layout>
            </c:ext>
          </c:extLst>
        </c:dLbl>
      </c:pivotFmt>
    </c:pivotFmts>
    <c:plotArea>
      <c:layout>
        <c:manualLayout>
          <c:layoutTarget val="inner"/>
          <c:xMode val="edge"/>
          <c:yMode val="edge"/>
          <c:x val="0.11402537182852143"/>
          <c:y val="0.26791447944006996"/>
          <c:w val="0.76349759405074369"/>
          <c:h val="0.62968613298337706"/>
        </c:manualLayout>
      </c:layout>
      <c:barChart>
        <c:barDir val="col"/>
        <c:grouping val="clustered"/>
        <c:varyColors val="0"/>
        <c:ser>
          <c:idx val="0"/>
          <c:order val="0"/>
          <c:tx>
            <c:strRef>
              <c:f>PivotTables!$A$34</c:f>
              <c:strCache>
                <c:ptCount val="1"/>
                <c:pt idx="0">
                  <c:v>Total</c:v>
                </c:pt>
              </c:strCache>
            </c:strRef>
          </c:tx>
          <c:spPr>
            <a:noFill/>
            <a:ln>
              <a:noFill/>
            </a:ln>
            <a:effectLst/>
          </c:spPr>
          <c:invertIfNegative val="0"/>
          <c:dPt>
            <c:idx val="0"/>
            <c:invertIfNegative val="0"/>
            <c:bubble3D val="0"/>
            <c:extLst>
              <c:ext xmlns:c16="http://schemas.microsoft.com/office/drawing/2014/chart" uri="{C3380CC4-5D6E-409C-BE32-E72D297353CC}">
                <c16:uniqueId val="{00000001-3C12-4C80-8469-56DD58CFD0B8}"/>
              </c:ext>
            </c:extLst>
          </c:dPt>
          <c:dLbls>
            <c:dLbl>
              <c:idx val="0"/>
              <c:layout>
                <c:manualLayout>
                  <c:x val="-0.12662334425213614"/>
                  <c:y val="0.14173210771640188"/>
                </c:manualLayout>
              </c:layout>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69818163969177849"/>
                      <c:h val="0.38940896595081415"/>
                    </c:manualLayout>
                  </c15:layout>
                </c:ext>
                <c:ext xmlns:c16="http://schemas.microsoft.com/office/drawing/2014/chart" uri="{C3380CC4-5D6E-409C-BE32-E72D297353CC}">
                  <c16:uniqueId val="{00000001-3C12-4C80-8469-56DD58CFD0B8}"/>
                </c:ext>
              </c:extLst>
            </c:dLbl>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PivotTables!$A$35</c:f>
              <c:strCache>
                <c:ptCount val="1"/>
                <c:pt idx="0">
                  <c:v>Total</c:v>
                </c:pt>
              </c:strCache>
            </c:strRef>
          </c:cat>
          <c:val>
            <c:numRef>
              <c:f>PivotTables!$A$35</c:f>
              <c:numCache>
                <c:formatCode>General</c:formatCode>
                <c:ptCount val="1"/>
                <c:pt idx="0">
                  <c:v>678</c:v>
                </c:pt>
              </c:numCache>
            </c:numRef>
          </c:val>
          <c:extLst>
            <c:ext xmlns:c16="http://schemas.microsoft.com/office/drawing/2014/chart" uri="{C3380CC4-5D6E-409C-BE32-E72D297353CC}">
              <c16:uniqueId val="{00000000-3C12-4C80-8469-56DD58CFD0B8}"/>
            </c:ext>
          </c:extLst>
        </c:ser>
        <c:dLbls>
          <c:showLegendKey val="0"/>
          <c:showVal val="0"/>
          <c:showCatName val="0"/>
          <c:showSerName val="0"/>
          <c:showPercent val="0"/>
          <c:showBubbleSize val="0"/>
        </c:dLbls>
        <c:gapWidth val="219"/>
        <c:overlap val="-27"/>
        <c:axId val="405294112"/>
        <c:axId val="405303232"/>
      </c:barChart>
      <c:catAx>
        <c:axId val="40529411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405303232"/>
        <c:crosses val="autoZero"/>
        <c:auto val="1"/>
        <c:lblAlgn val="ctr"/>
        <c:lblOffset val="100"/>
        <c:noMultiLvlLbl val="0"/>
      </c:catAx>
      <c:valAx>
        <c:axId val="40530323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405294112"/>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Analysis.xlsx]PivotTables!PivotTable12</c:name>
    <c:fmtId val="3"/>
  </c:pivotSource>
  <c:chart>
    <c:title>
      <c:tx>
        <c:rich>
          <a:bodyPr rot="0" spcFirstLastPara="1" vertOverflow="ellipsis" vert="horz" wrap="square" anchor="ctr" anchorCtr="1"/>
          <a:lstStyle/>
          <a:p>
            <a:pPr>
              <a:defRPr sz="1400" b="0" i="0" u="none" strike="noStrike" kern="1200" spc="0" baseline="0">
                <a:solidFill>
                  <a:schemeClr val="bg1">
                    <a:alpha val="80000"/>
                  </a:schemeClr>
                </a:solidFill>
                <a:latin typeface="+mn-lt"/>
                <a:ea typeface="+mn-ea"/>
                <a:cs typeface="+mn-cs"/>
              </a:defRPr>
            </a:pPr>
            <a:r>
              <a:rPr lang="en-US" sz="1000">
                <a:solidFill>
                  <a:schemeClr val="bg1">
                    <a:alpha val="80000"/>
                  </a:schemeClr>
                </a:solidFill>
              </a:rPr>
              <a:t>Profit</a:t>
            </a:r>
          </a:p>
        </c:rich>
      </c:tx>
      <c:layout>
        <c:manualLayout>
          <c:xMode val="edge"/>
          <c:yMode val="edge"/>
          <c:x val="0.35568421052631577"/>
          <c:y val="0.7043490317511670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alpha val="8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a:noFill/>
          </a:ln>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a:noFill/>
          </a:ln>
          <a:effectLst/>
        </c:spPr>
        <c:dLbl>
          <c:idx val="0"/>
          <c:layout>
            <c:manualLayout>
              <c:x val="0.1308742100135723"/>
              <c:y val="0.24782722115622707"/>
            </c:manualLayout>
          </c:layout>
          <c:spPr>
            <a:noFill/>
            <a:ln>
              <a:noFill/>
            </a:ln>
            <a:effectLst/>
          </c:spPr>
          <c:txPr>
            <a:bodyPr rot="0" spcFirstLastPara="1" vertOverflow="ellipsis" vert="horz" wrap="square" anchor="ctr" anchorCtr="1"/>
            <a:lstStyle/>
            <a:p>
              <a:pPr>
                <a:defRPr sz="2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58980907100094093"/>
                  <c:h val="0.49999949049622605"/>
                </c:manualLayout>
              </c15:layout>
            </c:ext>
          </c:extLst>
        </c:dLbl>
      </c:pivotFmt>
    </c:pivotFmts>
    <c:plotArea>
      <c:layout/>
      <c:barChart>
        <c:barDir val="col"/>
        <c:grouping val="clustered"/>
        <c:varyColors val="0"/>
        <c:ser>
          <c:idx val="0"/>
          <c:order val="0"/>
          <c:tx>
            <c:strRef>
              <c:f>PivotTables!$A$31</c:f>
              <c:strCache>
                <c:ptCount val="1"/>
                <c:pt idx="0">
                  <c:v>Total</c:v>
                </c:pt>
              </c:strCache>
            </c:strRef>
          </c:tx>
          <c:spPr>
            <a:noFill/>
            <a:ln>
              <a:noFill/>
            </a:ln>
            <a:effectLst/>
          </c:spPr>
          <c:invertIfNegative val="0"/>
          <c:dPt>
            <c:idx val="0"/>
            <c:invertIfNegative val="0"/>
            <c:bubble3D val="0"/>
            <c:extLst>
              <c:ext xmlns:c16="http://schemas.microsoft.com/office/drawing/2014/chart" uri="{C3380CC4-5D6E-409C-BE32-E72D297353CC}">
                <c16:uniqueId val="{00000001-7221-4A94-80D8-B7D2A1F2B0DD}"/>
              </c:ext>
            </c:extLst>
          </c:dPt>
          <c:dLbls>
            <c:dLbl>
              <c:idx val="0"/>
              <c:layout>
                <c:manualLayout>
                  <c:x val="0.1308742100135723"/>
                  <c:y val="0.24782722115622707"/>
                </c:manualLayout>
              </c:layout>
              <c:spPr>
                <a:noFill/>
                <a:ln>
                  <a:noFill/>
                </a:ln>
                <a:effectLst/>
              </c:spPr>
              <c:txPr>
                <a:bodyPr rot="0" spcFirstLastPara="1" vertOverflow="ellipsis" vert="horz" wrap="square" anchor="ctr" anchorCtr="1"/>
                <a:lstStyle/>
                <a:p>
                  <a:pPr>
                    <a:defRPr sz="2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58980907100094093"/>
                      <c:h val="0.49999949049622605"/>
                    </c:manualLayout>
                  </c15:layout>
                </c:ext>
                <c:ext xmlns:c16="http://schemas.microsoft.com/office/drawing/2014/chart" uri="{C3380CC4-5D6E-409C-BE32-E72D297353CC}">
                  <c16:uniqueId val="{00000001-7221-4A94-80D8-B7D2A1F2B0DD}"/>
                </c:ext>
              </c:extLst>
            </c:dLbl>
            <c:spPr>
              <a:noFill/>
              <a:ln>
                <a:noFill/>
              </a:ln>
              <a:effectLst/>
            </c:spPr>
            <c:txPr>
              <a:bodyPr rot="0" spcFirstLastPara="1" vertOverflow="ellipsis" vert="horz" wrap="square" anchor="ctr" anchorCtr="1"/>
              <a:lstStyle/>
              <a:p>
                <a:pPr>
                  <a:defRPr sz="2000" b="1"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PivotTables!$A$32</c:f>
              <c:strCache>
                <c:ptCount val="1"/>
                <c:pt idx="0">
                  <c:v>Total</c:v>
                </c:pt>
              </c:strCache>
            </c:strRef>
          </c:cat>
          <c:val>
            <c:numRef>
              <c:f>PivotTables!$A$32</c:f>
              <c:numCache>
                <c:formatCode>#,\K</c:formatCode>
                <c:ptCount val="1"/>
                <c:pt idx="0">
                  <c:v>12616</c:v>
                </c:pt>
              </c:numCache>
            </c:numRef>
          </c:val>
          <c:extLst>
            <c:ext xmlns:c16="http://schemas.microsoft.com/office/drawing/2014/chart" uri="{C3380CC4-5D6E-409C-BE32-E72D297353CC}">
              <c16:uniqueId val="{00000000-7221-4A94-80D8-B7D2A1F2B0DD}"/>
            </c:ext>
          </c:extLst>
        </c:ser>
        <c:dLbls>
          <c:showLegendKey val="0"/>
          <c:showVal val="0"/>
          <c:showCatName val="0"/>
          <c:showSerName val="0"/>
          <c:showPercent val="0"/>
          <c:showBubbleSize val="0"/>
        </c:dLbls>
        <c:gapWidth val="219"/>
        <c:overlap val="-27"/>
        <c:axId val="1479175088"/>
        <c:axId val="1479176048"/>
      </c:barChart>
      <c:catAx>
        <c:axId val="147917508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479176048"/>
        <c:crosses val="autoZero"/>
        <c:auto val="1"/>
        <c:lblAlgn val="ctr"/>
        <c:lblOffset val="100"/>
        <c:noMultiLvlLbl val="0"/>
      </c:catAx>
      <c:valAx>
        <c:axId val="1479176048"/>
        <c:scaling>
          <c:orientation val="minMax"/>
        </c:scaling>
        <c:delete val="0"/>
        <c:axPos val="l"/>
        <c:majorGridlines>
          <c:spPr>
            <a:ln w="9525" cap="flat" cmpd="sng" algn="ctr">
              <a:noFill/>
              <a:round/>
            </a:ln>
            <a:effectLst/>
          </c:spPr>
        </c:majorGridlines>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47917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Analysis.xlsx]PivotTables!PivotTable16</c:name>
    <c:fmtId val="3"/>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a:solidFill>
                  <a:schemeClr val="bg1">
                    <a:alpha val="80000"/>
                  </a:schemeClr>
                </a:solidFill>
              </a:rPr>
              <a:t>AOV</a:t>
            </a:r>
          </a:p>
        </c:rich>
      </c:tx>
      <c:layout>
        <c:manualLayout>
          <c:xMode val="edge"/>
          <c:yMode val="edge"/>
          <c:x val="0.37680450615004307"/>
          <c:y val="0.69230791300580607"/>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a:noFill/>
          </a:ln>
          <a:effectLst/>
        </c:spPr>
        <c:dLbl>
          <c:idx val="0"/>
          <c:layout>
            <c:manualLayout>
              <c:x val="0.1085398596652327"/>
              <c:y val="0.11505279577060014"/>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41951C9A-530D-417A-BDAB-748945602362}" type="VALUE">
                  <a:rPr lang="en-US" sz="2800" b="1">
                    <a:solidFill>
                      <a:schemeClr val="bg1"/>
                    </a:solidFill>
                  </a:rPr>
                  <a:pPr>
                    <a:defRPr b="1">
                      <a:solidFill>
                        <a:schemeClr val="bg1"/>
                      </a:solidFill>
                    </a:defRPr>
                  </a:pPr>
                  <a:t>[VALUE]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ID"/>
            </a:p>
          </c:txPr>
          <c:showLegendKey val="0"/>
          <c:showVal val="1"/>
          <c:showCatName val="0"/>
          <c:showSerName val="0"/>
          <c:showPercent val="0"/>
          <c:showBubbleSize val="0"/>
          <c:extLst>
            <c:ext xmlns:c15="http://schemas.microsoft.com/office/drawing/2012/chart" uri="{CE6537A1-D6FC-4f65-9D91-7224C49458BB}">
              <c15:layout>
                <c:manualLayout>
                  <c:w val="0.56496138964024656"/>
                  <c:h val="0.30327944890798203"/>
                </c:manualLayout>
              </c15:layout>
              <c15:dlblFieldTable/>
              <c15:showDataLabelsRange val="0"/>
            </c:ext>
          </c:extLst>
        </c:dLbl>
      </c:pivotFmt>
    </c:pivotFmts>
    <c:plotArea>
      <c:layout/>
      <c:barChart>
        <c:barDir val="col"/>
        <c:grouping val="clustered"/>
        <c:varyColors val="0"/>
        <c:ser>
          <c:idx val="0"/>
          <c:order val="0"/>
          <c:tx>
            <c:strRef>
              <c:f>PivotTables!$A$25</c:f>
              <c:strCache>
                <c:ptCount val="1"/>
                <c:pt idx="0">
                  <c:v>Total</c:v>
                </c:pt>
              </c:strCache>
            </c:strRef>
          </c:tx>
          <c:spPr>
            <a:solidFill>
              <a:schemeClr val="accent1"/>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1-5C50-4E07-98A5-C96577DA31E7}"/>
              </c:ext>
            </c:extLst>
          </c:dPt>
          <c:dLbls>
            <c:dLbl>
              <c:idx val="0"/>
              <c:layout>
                <c:manualLayout>
                  <c:x val="0.1085398596652327"/>
                  <c:y val="0.11505279577060014"/>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41951C9A-530D-417A-BDAB-748945602362}" type="VALUE">
                      <a:rPr lang="en-US" sz="2800" b="1">
                        <a:solidFill>
                          <a:schemeClr val="bg1"/>
                        </a:solidFill>
                      </a:rPr>
                      <a:pPr>
                        <a:defRPr b="1">
                          <a:solidFill>
                            <a:schemeClr val="bg1"/>
                          </a:solidFill>
                        </a:defRPr>
                      </a:pPr>
                      <a:t>[VALUE]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ID"/>
                </a:p>
              </c:txPr>
              <c:showLegendKey val="0"/>
              <c:showVal val="1"/>
              <c:showCatName val="0"/>
              <c:showSerName val="0"/>
              <c:showPercent val="0"/>
              <c:showBubbleSize val="0"/>
              <c:extLst>
                <c:ext xmlns:c15="http://schemas.microsoft.com/office/drawing/2012/chart" uri="{CE6537A1-D6FC-4f65-9D91-7224C49458BB}">
                  <c15:layout>
                    <c:manualLayout>
                      <c:w val="0.56496138964024656"/>
                      <c:h val="0.30327944890798203"/>
                    </c:manualLayout>
                  </c15:layout>
                  <c15:dlblFieldTable/>
                  <c15:showDataLabelsRange val="0"/>
                </c:ext>
                <c:ext xmlns:c16="http://schemas.microsoft.com/office/drawing/2014/chart" uri="{C3380CC4-5D6E-409C-BE32-E72D297353CC}">
                  <c16:uniqueId val="{00000001-5C50-4E07-98A5-C96577DA31E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PivotTables!$A$26</c:f>
              <c:strCache>
                <c:ptCount val="1"/>
                <c:pt idx="0">
                  <c:v>Total</c:v>
                </c:pt>
              </c:strCache>
            </c:strRef>
          </c:cat>
          <c:val>
            <c:numRef>
              <c:f>PivotTables!$A$26</c:f>
              <c:numCache>
                <c:formatCode>#,\K</c:formatCode>
                <c:ptCount val="1"/>
                <c:pt idx="0">
                  <c:v>17836.482539682544</c:v>
                </c:pt>
              </c:numCache>
            </c:numRef>
          </c:val>
          <c:extLst>
            <c:ext xmlns:c16="http://schemas.microsoft.com/office/drawing/2014/chart" uri="{C3380CC4-5D6E-409C-BE32-E72D297353CC}">
              <c16:uniqueId val="{00000000-5C50-4E07-98A5-C96577DA31E7}"/>
            </c:ext>
          </c:extLst>
        </c:ser>
        <c:dLbls>
          <c:showLegendKey val="0"/>
          <c:showVal val="0"/>
          <c:showCatName val="0"/>
          <c:showSerName val="0"/>
          <c:showPercent val="0"/>
          <c:showBubbleSize val="0"/>
        </c:dLbls>
        <c:gapWidth val="219"/>
        <c:overlap val="-27"/>
        <c:axId val="1204452784"/>
        <c:axId val="1204449904"/>
      </c:barChart>
      <c:catAx>
        <c:axId val="120445278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204449904"/>
        <c:crosses val="autoZero"/>
        <c:auto val="1"/>
        <c:lblAlgn val="ctr"/>
        <c:lblOffset val="100"/>
        <c:noMultiLvlLbl val="0"/>
      </c:catAx>
      <c:valAx>
        <c:axId val="1204449904"/>
        <c:scaling>
          <c:orientation val="minMax"/>
        </c:scaling>
        <c:delete val="0"/>
        <c:axPos val="l"/>
        <c:majorGridlines>
          <c:spPr>
            <a:ln w="9525" cap="flat" cmpd="sng" algn="ctr">
              <a:noFill/>
              <a:round/>
            </a:ln>
            <a:effectLst/>
          </c:spPr>
        </c:majorGridlines>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20445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Analysis.xlsx]PivotTables!PivotTable19</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Amount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FF0D0D"/>
          </a:solidFill>
          <a:ln>
            <a:noFill/>
          </a:ln>
          <a:effectLst/>
        </c:spPr>
      </c:pivotFmt>
      <c:pivotFmt>
        <c:idx val="2"/>
        <c:spPr>
          <a:solidFill>
            <a:srgbClr val="00B050"/>
          </a:solidFill>
          <a:ln>
            <a:noFill/>
          </a:ln>
          <a:effectLst/>
        </c:spPr>
      </c:pivotFmt>
      <c:pivotFmt>
        <c:idx val="3"/>
        <c:spPr>
          <a:solidFill>
            <a:srgbClr val="0070C0"/>
          </a:solidFill>
          <a:ln>
            <a:noFill/>
          </a:ln>
          <a:effectLst/>
        </c:spPr>
      </c:pivotFmt>
      <c:pivotFmt>
        <c:idx val="4"/>
        <c:spPr>
          <a:solidFill>
            <a:srgbClr val="FFFF00"/>
          </a:solidFill>
          <a:ln>
            <a:noFill/>
          </a:ln>
          <a:effectLst/>
        </c:spPr>
      </c:pivotFmt>
      <c:pivotFmt>
        <c:idx val="5"/>
        <c:spPr>
          <a:solidFill>
            <a:schemeClr val="accent5">
              <a:lumMod val="60000"/>
              <a:lumOff val="40000"/>
            </a:schemeClr>
          </a:solidFill>
          <a:ln>
            <a:noFill/>
          </a:ln>
          <a:effectLst/>
        </c:spPr>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5">
              <a:lumMod val="60000"/>
              <a:lumOff val="40000"/>
            </a:schemeClr>
          </a:solidFill>
          <a:ln>
            <a:noFill/>
          </a:ln>
          <a:effectLst/>
        </c:spPr>
      </c:pivotFmt>
      <c:pivotFmt>
        <c:idx val="8"/>
        <c:spPr>
          <a:solidFill>
            <a:srgbClr val="FFFF00"/>
          </a:solidFill>
          <a:ln>
            <a:noFill/>
          </a:ln>
          <a:effectLst/>
        </c:spPr>
      </c:pivotFmt>
      <c:pivotFmt>
        <c:idx val="9"/>
        <c:spPr>
          <a:solidFill>
            <a:srgbClr val="0070C0"/>
          </a:solidFill>
          <a:ln>
            <a:noFill/>
          </a:ln>
          <a:effectLst/>
        </c:spPr>
      </c:pivotFmt>
      <c:pivotFmt>
        <c:idx val="10"/>
        <c:spPr>
          <a:solidFill>
            <a:srgbClr val="00B050"/>
          </a:solidFill>
          <a:ln>
            <a:noFill/>
          </a:ln>
          <a:effectLst/>
        </c:spPr>
      </c:pivotFmt>
      <c:pivotFmt>
        <c:idx val="11"/>
        <c:spPr>
          <a:solidFill>
            <a:srgbClr val="FF0D0D"/>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60000"/>
              <a:lumOff val="40000"/>
            </a:schemeClr>
          </a:solidFill>
          <a:ln>
            <a:noFill/>
          </a:ln>
          <a:effectLst/>
        </c:spPr>
      </c:pivotFmt>
      <c:pivotFmt>
        <c:idx val="14"/>
        <c:spPr>
          <a:solidFill>
            <a:srgbClr val="FFFF00"/>
          </a:solidFill>
          <a:ln>
            <a:noFill/>
          </a:ln>
          <a:effectLst/>
        </c:spPr>
      </c:pivotFmt>
      <c:pivotFmt>
        <c:idx val="15"/>
        <c:spPr>
          <a:solidFill>
            <a:srgbClr val="0070C0"/>
          </a:solidFill>
          <a:ln>
            <a:noFill/>
          </a:ln>
          <a:effectLst/>
        </c:spPr>
      </c:pivotFmt>
      <c:pivotFmt>
        <c:idx val="16"/>
        <c:spPr>
          <a:solidFill>
            <a:srgbClr val="00B050"/>
          </a:solidFill>
          <a:ln>
            <a:noFill/>
          </a:ln>
          <a:effectLst/>
        </c:spPr>
      </c:pivotFmt>
      <c:pivotFmt>
        <c:idx val="17"/>
        <c:spPr>
          <a:solidFill>
            <a:srgbClr val="FF0D0D"/>
          </a:solidFill>
          <a:ln>
            <a:noFill/>
          </a:ln>
          <a:effectLst/>
        </c:spPr>
      </c:pivotFmt>
    </c:pivotFmts>
    <c:plotArea>
      <c:layout/>
      <c:barChart>
        <c:barDir val="bar"/>
        <c:grouping val="clustered"/>
        <c:varyColors val="0"/>
        <c:ser>
          <c:idx val="0"/>
          <c:order val="0"/>
          <c:tx>
            <c:strRef>
              <c:f>PivotTables!$E$22</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1-B614-4786-92CC-5665FB1124B7}"/>
              </c:ext>
            </c:extLst>
          </c:dPt>
          <c:dPt>
            <c:idx val="1"/>
            <c:invertIfNegative val="0"/>
            <c:bubble3D val="0"/>
            <c:extLst>
              <c:ext xmlns:c16="http://schemas.microsoft.com/office/drawing/2014/chart" uri="{C3380CC4-5D6E-409C-BE32-E72D297353CC}">
                <c16:uniqueId val="{00000003-B614-4786-92CC-5665FB1124B7}"/>
              </c:ext>
            </c:extLst>
          </c:dPt>
          <c:dPt>
            <c:idx val="2"/>
            <c:invertIfNegative val="0"/>
            <c:bubble3D val="0"/>
            <c:spPr>
              <a:solidFill>
                <a:srgbClr val="FFFF00"/>
              </a:solidFill>
              <a:ln>
                <a:noFill/>
              </a:ln>
              <a:effectLst/>
            </c:spPr>
            <c:extLst>
              <c:ext xmlns:c16="http://schemas.microsoft.com/office/drawing/2014/chart" uri="{C3380CC4-5D6E-409C-BE32-E72D297353CC}">
                <c16:uniqueId val="{00000005-B614-4786-92CC-5665FB1124B7}"/>
              </c:ext>
            </c:extLst>
          </c:dPt>
          <c:dPt>
            <c:idx val="3"/>
            <c:invertIfNegative val="0"/>
            <c:bubble3D val="0"/>
            <c:spPr>
              <a:solidFill>
                <a:srgbClr val="0070C0"/>
              </a:solidFill>
              <a:ln>
                <a:noFill/>
              </a:ln>
              <a:effectLst/>
            </c:spPr>
            <c:extLst>
              <c:ext xmlns:c16="http://schemas.microsoft.com/office/drawing/2014/chart" uri="{C3380CC4-5D6E-409C-BE32-E72D297353CC}">
                <c16:uniqueId val="{00000007-B614-4786-92CC-5665FB1124B7}"/>
              </c:ext>
            </c:extLst>
          </c:dPt>
          <c:dPt>
            <c:idx val="4"/>
            <c:invertIfNegative val="0"/>
            <c:bubble3D val="0"/>
            <c:spPr>
              <a:solidFill>
                <a:srgbClr val="FF0D0D"/>
              </a:solidFill>
              <a:ln>
                <a:noFill/>
              </a:ln>
              <a:effectLst/>
            </c:spPr>
            <c:extLst>
              <c:ext xmlns:c16="http://schemas.microsoft.com/office/drawing/2014/chart" uri="{C3380CC4-5D6E-409C-BE32-E72D297353CC}">
                <c16:uniqueId val="{00000009-B614-4786-92CC-5665FB1124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PivotTables!$D$23:$D$28</c:f>
              <c:strCache>
                <c:ptCount val="5"/>
                <c:pt idx="0">
                  <c:v>Chandigarh</c:v>
                </c:pt>
                <c:pt idx="1">
                  <c:v>Delhi</c:v>
                </c:pt>
                <c:pt idx="2">
                  <c:v>Indore</c:v>
                </c:pt>
                <c:pt idx="3">
                  <c:v>Mathura</c:v>
                </c:pt>
                <c:pt idx="4">
                  <c:v>Pune</c:v>
                </c:pt>
              </c:strCache>
            </c:strRef>
          </c:cat>
          <c:val>
            <c:numRef>
              <c:f>PivotTables!$E$23:$E$28</c:f>
              <c:numCache>
                <c:formatCode>#,\K</c:formatCode>
                <c:ptCount val="5"/>
                <c:pt idx="0">
                  <c:v>6342</c:v>
                </c:pt>
                <c:pt idx="1">
                  <c:v>5570</c:v>
                </c:pt>
                <c:pt idx="2">
                  <c:v>6180</c:v>
                </c:pt>
                <c:pt idx="3">
                  <c:v>6127</c:v>
                </c:pt>
                <c:pt idx="4">
                  <c:v>9287</c:v>
                </c:pt>
              </c:numCache>
            </c:numRef>
          </c:val>
          <c:extLst>
            <c:ext xmlns:c16="http://schemas.microsoft.com/office/drawing/2014/chart" uri="{C3380CC4-5D6E-409C-BE32-E72D297353CC}">
              <c16:uniqueId val="{0000000A-B614-4786-92CC-5665FB1124B7}"/>
            </c:ext>
          </c:extLst>
        </c:ser>
        <c:dLbls>
          <c:showLegendKey val="0"/>
          <c:showVal val="0"/>
          <c:showCatName val="0"/>
          <c:showSerName val="0"/>
          <c:showPercent val="0"/>
          <c:showBubbleSize val="0"/>
        </c:dLbls>
        <c:gapWidth val="32"/>
        <c:overlap val="-10"/>
        <c:axId val="221365104"/>
        <c:axId val="221366064"/>
      </c:barChart>
      <c:catAx>
        <c:axId val="22136510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1366064"/>
        <c:crosses val="autoZero"/>
        <c:auto val="1"/>
        <c:lblAlgn val="ctr"/>
        <c:lblOffset val="100"/>
        <c:noMultiLvlLbl val="0"/>
      </c:catAx>
      <c:valAx>
        <c:axId val="221366064"/>
        <c:scaling>
          <c:orientation val="minMax"/>
        </c:scaling>
        <c:delete val="0"/>
        <c:axPos val="b"/>
        <c:majorGridlines>
          <c:spPr>
            <a:ln w="9525" cap="flat" cmpd="sng" algn="ctr">
              <a:noFill/>
              <a:round/>
            </a:ln>
            <a:effectLst/>
          </c:spPr>
        </c:majorGridlines>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221365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rgbClr val="C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Analysis.xlsx]PivotTables!PivotTable9</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Amount by Customer Name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pivotFmt>
      <c:pivotFmt>
        <c:idx val="4"/>
        <c:spPr>
          <a:solidFill>
            <a:srgbClr val="0070C0"/>
          </a:solidFill>
          <a:ln>
            <a:noFill/>
          </a:ln>
          <a:effectLst/>
        </c:spPr>
      </c:pivotFmt>
      <c:pivotFmt>
        <c:idx val="5"/>
        <c:spPr>
          <a:solidFill>
            <a:srgbClr val="FFFF00"/>
          </a:solidFill>
          <a:ln>
            <a:noFill/>
          </a:ln>
          <a:effectLst/>
        </c:spPr>
      </c:pivotFmt>
      <c:pivotFmt>
        <c:idx val="6"/>
        <c:spPr>
          <a:solidFill>
            <a:schemeClr val="accent5">
              <a:lumMod val="60000"/>
              <a:lumOff val="40000"/>
            </a:schemeClr>
          </a:solidFill>
          <a:ln>
            <a:noFill/>
          </a:ln>
          <a:effectLst/>
        </c:spPr>
      </c:pivotFmt>
    </c:pivotFmts>
    <c:plotArea>
      <c:layout/>
      <c:barChart>
        <c:barDir val="col"/>
        <c:grouping val="clustered"/>
        <c:varyColors val="0"/>
        <c:ser>
          <c:idx val="0"/>
          <c:order val="0"/>
          <c:tx>
            <c:strRef>
              <c:f>PivotTables!$H$23</c:f>
              <c:strCache>
                <c:ptCount val="1"/>
                <c:pt idx="0">
                  <c:v>Total</c:v>
                </c:pt>
              </c:strCache>
            </c:strRef>
          </c:tx>
          <c:spPr>
            <a:solidFill>
              <a:srgbClr val="FF0000"/>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BEEB-4F2F-9FDA-57FC224CDCB8}"/>
              </c:ext>
            </c:extLst>
          </c:dPt>
          <c:dPt>
            <c:idx val="1"/>
            <c:invertIfNegative val="0"/>
            <c:bubble3D val="0"/>
            <c:spPr>
              <a:solidFill>
                <a:srgbClr val="0070C0"/>
              </a:solidFill>
              <a:ln>
                <a:noFill/>
              </a:ln>
              <a:effectLst/>
            </c:spPr>
            <c:extLst>
              <c:ext xmlns:c16="http://schemas.microsoft.com/office/drawing/2014/chart" uri="{C3380CC4-5D6E-409C-BE32-E72D297353CC}">
                <c16:uniqueId val="{00000001-6703-491A-8A01-868E6AB61397}"/>
              </c:ext>
            </c:extLst>
          </c:dPt>
          <c:dPt>
            <c:idx val="2"/>
            <c:invertIfNegative val="0"/>
            <c:bubble3D val="0"/>
            <c:spPr>
              <a:solidFill>
                <a:srgbClr val="FFFF00"/>
              </a:solidFill>
              <a:ln>
                <a:noFill/>
              </a:ln>
              <a:effectLst/>
            </c:spPr>
            <c:extLst>
              <c:ext xmlns:c16="http://schemas.microsoft.com/office/drawing/2014/chart" uri="{C3380CC4-5D6E-409C-BE32-E72D297353CC}">
                <c16:uniqueId val="{00000002-6703-491A-8A01-868E6AB61397}"/>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6703-491A-8A01-868E6AB61397}"/>
              </c:ext>
            </c:extLst>
          </c:dPt>
          <c:dPt>
            <c:idx val="4"/>
            <c:invertIfNegative val="0"/>
            <c:bubble3D val="0"/>
            <c:extLst>
              <c:ext xmlns:c16="http://schemas.microsoft.com/office/drawing/2014/chart" uri="{C3380CC4-5D6E-409C-BE32-E72D297353CC}">
                <c16:uniqueId val="{00000004-6703-491A-8A01-868E6AB613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PivotTables!$G$24:$G$29</c:f>
              <c:strCache>
                <c:ptCount val="5"/>
                <c:pt idx="0">
                  <c:v>Harivansh</c:v>
                </c:pt>
                <c:pt idx="1">
                  <c:v>Sarita</c:v>
                </c:pt>
                <c:pt idx="2">
                  <c:v>Shiva</c:v>
                </c:pt>
                <c:pt idx="3">
                  <c:v>Shrichand</c:v>
                </c:pt>
                <c:pt idx="4">
                  <c:v>Shruti</c:v>
                </c:pt>
              </c:strCache>
            </c:strRef>
          </c:cat>
          <c:val>
            <c:numRef>
              <c:f>PivotTables!$H$24:$H$29</c:f>
              <c:numCache>
                <c:formatCode>#,##0\K</c:formatCode>
                <c:ptCount val="5"/>
                <c:pt idx="0">
                  <c:v>5729</c:v>
                </c:pt>
                <c:pt idx="1">
                  <c:v>3138</c:v>
                </c:pt>
                <c:pt idx="2">
                  <c:v>2927</c:v>
                </c:pt>
                <c:pt idx="3">
                  <c:v>3311</c:v>
                </c:pt>
                <c:pt idx="4">
                  <c:v>2204</c:v>
                </c:pt>
              </c:numCache>
            </c:numRef>
          </c:val>
          <c:extLst>
            <c:ext xmlns:c16="http://schemas.microsoft.com/office/drawing/2014/chart" uri="{C3380CC4-5D6E-409C-BE32-E72D297353CC}">
              <c16:uniqueId val="{00000000-6703-491A-8A01-868E6AB61397}"/>
            </c:ext>
          </c:extLst>
        </c:ser>
        <c:dLbls>
          <c:showLegendKey val="0"/>
          <c:showVal val="0"/>
          <c:showCatName val="0"/>
          <c:showSerName val="0"/>
          <c:showPercent val="0"/>
          <c:showBubbleSize val="0"/>
        </c:dLbls>
        <c:gapWidth val="50"/>
        <c:overlap val="-27"/>
        <c:axId val="404342416"/>
        <c:axId val="404342896"/>
      </c:barChart>
      <c:catAx>
        <c:axId val="40434241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4342896"/>
        <c:crosses val="autoZero"/>
        <c:auto val="1"/>
        <c:lblAlgn val="ctr"/>
        <c:lblOffset val="100"/>
        <c:noMultiLvlLbl val="0"/>
      </c:catAx>
      <c:valAx>
        <c:axId val="404342896"/>
        <c:scaling>
          <c:orientation val="minMax"/>
        </c:scaling>
        <c:delete val="1"/>
        <c:axPos val="l"/>
        <c:majorGridlines>
          <c:spPr>
            <a:ln w="9525" cap="flat" cmpd="sng" algn="ctr">
              <a:noFill/>
              <a:round/>
            </a:ln>
            <a:effectLst/>
          </c:spPr>
        </c:majorGridlines>
        <c:numFmt formatCode="#,##0\K" sourceLinked="1"/>
        <c:majorTickMark val="none"/>
        <c:minorTickMark val="none"/>
        <c:tickLblPos val="nextTo"/>
        <c:crossAx val="404342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rgbClr val="C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Analysis.xlsx]PivotTables!PivotTable6</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Quanity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noFill/>
          </a:ln>
          <a:effectLst/>
        </c:spPr>
        <c:dLbl>
          <c:idx val="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0070C0"/>
          </a:solidFill>
          <a:ln w="19050">
            <a:noFill/>
          </a:ln>
          <a:effectLst/>
        </c:spPr>
        <c:dLbl>
          <c:idx val="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lumMod val="60000"/>
              <a:lumOff val="40000"/>
            </a:schemeClr>
          </a:solidFill>
          <a:ln w="19050">
            <a:noFill/>
          </a:ln>
          <a:effectLst/>
        </c:spPr>
        <c:dLbl>
          <c:idx val="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FF0000"/>
          </a:solidFill>
          <a:ln w="19050">
            <a:noFill/>
          </a:ln>
          <a:effectLst/>
        </c:spPr>
        <c:dLbl>
          <c:idx val="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00B050"/>
          </a:solidFill>
          <a:ln w="19050">
            <a:noFill/>
          </a:ln>
          <a:effectLst/>
        </c:spPr>
        <c:dLbl>
          <c:idx val="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2"/>
          </a:solidFill>
          <a:ln w="19050">
            <a:noFill/>
          </a:ln>
          <a:effectLst/>
        </c:spPr>
        <c:dLbl>
          <c:idx val="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noFill/>
          </a:ln>
          <a:effectLst/>
        </c:spPr>
        <c:dLbl>
          <c:idx val="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rgbClr val="0070C0"/>
          </a:solidFill>
          <a:ln w="19050">
            <a:noFill/>
          </a:ln>
          <a:effectLst/>
        </c:spPr>
        <c:dLbl>
          <c:idx val="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19050">
            <a:noFill/>
          </a:ln>
          <a:effectLst/>
        </c:spPr>
        <c:dLbl>
          <c:idx val="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rgbClr val="00B050"/>
          </a:solidFill>
          <a:ln w="19050">
            <a:noFill/>
          </a:ln>
          <a:effectLst/>
        </c:spPr>
        <c:dLbl>
          <c:idx val="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rgbClr val="FF0000"/>
          </a:solidFill>
          <a:ln w="19050">
            <a:noFill/>
          </a:ln>
          <a:effectLst/>
        </c:spPr>
        <c:dLbl>
          <c:idx val="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5">
              <a:lumMod val="60000"/>
              <a:lumOff val="40000"/>
            </a:schemeClr>
          </a:solidFill>
          <a:ln w="19050">
            <a:noFill/>
          </a:ln>
          <a:effectLst/>
        </c:spPr>
        <c:dLbl>
          <c:idx val="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w="19050">
            <a:noFill/>
          </a:ln>
          <a:effectLst/>
        </c:spPr>
        <c:marker>
          <c:symbol val="none"/>
        </c:marker>
        <c:dLbl>
          <c:idx val="0"/>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rgbClr val="0070C0"/>
          </a:solidFill>
          <a:ln w="19050">
            <a:noFill/>
          </a:ln>
          <a:effectLst/>
        </c:spPr>
        <c:dLbl>
          <c:idx val="0"/>
          <c:layout>
            <c:manualLayout>
              <c:x val="0.17975194529521818"/>
              <c:y val="-1.1403707265561653E-2"/>
            </c:manualLayout>
          </c:layout>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0.19581303860867674"/>
                  <c:h val="8.0520737645815424E-2"/>
                </c:manualLayout>
              </c15:layout>
            </c:ext>
          </c:extLst>
        </c:dLbl>
      </c:pivotFmt>
      <c:pivotFmt>
        <c:idx val="14"/>
        <c:spPr>
          <a:solidFill>
            <a:schemeClr val="accent1"/>
          </a:solidFill>
          <a:ln w="19050">
            <a:noFill/>
          </a:ln>
          <a:effectLst/>
        </c:spPr>
        <c:dLbl>
          <c:idx val="0"/>
          <c:layout>
            <c:manualLayout>
              <c:x val="3.6200524905770047E-3"/>
              <c:y val="0.14351638246642603"/>
            </c:manualLayout>
          </c:layout>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2602447621080218"/>
                  <c:h val="0.14376855944995334"/>
                </c:manualLayout>
              </c15:layout>
            </c:ext>
          </c:extLst>
        </c:dLbl>
      </c:pivotFmt>
      <c:pivotFmt>
        <c:idx val="15"/>
        <c:spPr>
          <a:solidFill>
            <a:srgbClr val="00B050"/>
          </a:solidFill>
          <a:ln w="19050">
            <a:noFill/>
          </a:ln>
          <a:effectLst/>
        </c:spPr>
        <c:dLbl>
          <c:idx val="0"/>
          <c:layout>
            <c:manualLayout>
              <c:x val="-0.14190943049622487"/>
              <c:y val="8.5529488143053695E-2"/>
            </c:manualLayout>
          </c:layout>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1250732360676414"/>
                  <c:h val="0.14376855944995334"/>
                </c:manualLayout>
              </c15:layout>
            </c:ext>
          </c:extLst>
        </c:dLbl>
      </c:pivotFmt>
      <c:pivotFmt>
        <c:idx val="16"/>
        <c:spPr>
          <a:solidFill>
            <a:srgbClr val="FF0000"/>
          </a:solidFill>
          <a:ln w="19050">
            <a:noFill/>
          </a:ln>
          <a:effectLst/>
        </c:spPr>
        <c:dLbl>
          <c:idx val="0"/>
          <c:layout>
            <c:manualLayout>
              <c:x val="-0.11825785874685409"/>
              <c:y val="0"/>
            </c:manualLayout>
          </c:layout>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0491576502033104"/>
                  <c:h val="0.14376855944995334"/>
                </c:manualLayout>
              </c15:layout>
            </c:ext>
          </c:extLst>
        </c:dLbl>
      </c:pivotFmt>
      <c:pivotFmt>
        <c:idx val="17"/>
        <c:spPr>
          <a:solidFill>
            <a:schemeClr val="accent5">
              <a:lumMod val="60000"/>
              <a:lumOff val="40000"/>
            </a:schemeClr>
          </a:solidFill>
          <a:ln w="19050">
            <a:noFill/>
          </a:ln>
          <a:effectLst/>
        </c:spPr>
        <c:dLbl>
          <c:idx val="0"/>
          <c:layout>
            <c:manualLayout>
              <c:x val="-0.11336889178293386"/>
              <c:y val="-8.5673979475778247E-2"/>
            </c:manualLayout>
          </c:layout>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0491576502033104"/>
                  <c:h val="0.14376855944995334"/>
                </c:manualLayout>
              </c15:layout>
            </c:ext>
          </c:extLst>
        </c:dLbl>
      </c:pivotFmt>
    </c:pivotFmts>
    <c:plotArea>
      <c:layout>
        <c:manualLayout>
          <c:layoutTarget val="inner"/>
          <c:xMode val="edge"/>
          <c:yMode val="edge"/>
          <c:x val="0.29514495310394917"/>
          <c:y val="0.24278089899696556"/>
          <c:w val="0.3910006577895766"/>
          <c:h val="0.56955949320365851"/>
        </c:manualLayout>
      </c:layout>
      <c:doughnutChart>
        <c:varyColors val="1"/>
        <c:ser>
          <c:idx val="0"/>
          <c:order val="0"/>
          <c:tx>
            <c:strRef>
              <c:f>PivotTables!$K$3</c:f>
              <c:strCache>
                <c:ptCount val="1"/>
                <c:pt idx="0">
                  <c:v>Total</c:v>
                </c:pt>
              </c:strCache>
            </c:strRef>
          </c:tx>
          <c:spPr>
            <a:ln>
              <a:noFill/>
            </a:ln>
          </c:spPr>
          <c:dPt>
            <c:idx val="0"/>
            <c:bubble3D val="0"/>
            <c:spPr>
              <a:solidFill>
                <a:srgbClr val="0070C0"/>
              </a:solidFill>
              <a:ln w="19050">
                <a:noFill/>
              </a:ln>
              <a:effectLst/>
            </c:spPr>
            <c:extLst>
              <c:ext xmlns:c16="http://schemas.microsoft.com/office/drawing/2014/chart" uri="{C3380CC4-5D6E-409C-BE32-E72D297353CC}">
                <c16:uniqueId val="{00000001-A8A8-4269-820E-F366833B6DF4}"/>
              </c:ext>
            </c:extLst>
          </c:dPt>
          <c:dPt>
            <c:idx val="1"/>
            <c:bubble3D val="0"/>
            <c:spPr>
              <a:solidFill>
                <a:schemeClr val="accent2"/>
              </a:solidFill>
              <a:ln w="19050">
                <a:noFill/>
              </a:ln>
              <a:effectLst/>
            </c:spPr>
            <c:extLst>
              <c:ext xmlns:c16="http://schemas.microsoft.com/office/drawing/2014/chart" uri="{C3380CC4-5D6E-409C-BE32-E72D297353CC}">
                <c16:uniqueId val="{00000003-A8A8-4269-820E-F366833B6DF4}"/>
              </c:ext>
            </c:extLst>
          </c:dPt>
          <c:dPt>
            <c:idx val="2"/>
            <c:bubble3D val="0"/>
            <c:spPr>
              <a:solidFill>
                <a:srgbClr val="00B050"/>
              </a:solidFill>
              <a:ln w="19050">
                <a:noFill/>
              </a:ln>
              <a:effectLst/>
            </c:spPr>
            <c:extLst>
              <c:ext xmlns:c16="http://schemas.microsoft.com/office/drawing/2014/chart" uri="{C3380CC4-5D6E-409C-BE32-E72D297353CC}">
                <c16:uniqueId val="{00000005-A8A8-4269-820E-F366833B6DF4}"/>
              </c:ext>
            </c:extLst>
          </c:dPt>
          <c:dPt>
            <c:idx val="3"/>
            <c:bubble3D val="0"/>
            <c:spPr>
              <a:solidFill>
                <a:srgbClr val="FF0000"/>
              </a:solidFill>
              <a:ln w="19050">
                <a:noFill/>
              </a:ln>
              <a:effectLst/>
            </c:spPr>
            <c:extLst>
              <c:ext xmlns:c16="http://schemas.microsoft.com/office/drawing/2014/chart" uri="{C3380CC4-5D6E-409C-BE32-E72D297353CC}">
                <c16:uniqueId val="{00000007-A8A8-4269-820E-F366833B6DF4}"/>
              </c:ext>
            </c:extLst>
          </c:dPt>
          <c:dPt>
            <c:idx val="4"/>
            <c:bubble3D val="0"/>
            <c:spPr>
              <a:solidFill>
                <a:schemeClr val="accent5">
                  <a:lumMod val="60000"/>
                  <a:lumOff val="40000"/>
                </a:schemeClr>
              </a:solidFill>
              <a:ln w="19050">
                <a:noFill/>
              </a:ln>
              <a:effectLst/>
            </c:spPr>
            <c:extLst>
              <c:ext xmlns:c16="http://schemas.microsoft.com/office/drawing/2014/chart" uri="{C3380CC4-5D6E-409C-BE32-E72D297353CC}">
                <c16:uniqueId val="{00000009-A8A8-4269-820E-F366833B6DF4}"/>
              </c:ext>
            </c:extLst>
          </c:dPt>
          <c:dLbls>
            <c:dLbl>
              <c:idx val="0"/>
              <c:layout>
                <c:manualLayout>
                  <c:x val="0.17975194529521818"/>
                  <c:y val="-1.1403707265561653E-2"/>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19581303860867674"/>
                      <c:h val="8.0520737645815424E-2"/>
                    </c:manualLayout>
                  </c15:layout>
                </c:ext>
                <c:ext xmlns:c16="http://schemas.microsoft.com/office/drawing/2014/chart" uri="{C3380CC4-5D6E-409C-BE32-E72D297353CC}">
                  <c16:uniqueId val="{00000001-A8A8-4269-820E-F366833B6DF4}"/>
                </c:ext>
              </c:extLst>
            </c:dLbl>
            <c:dLbl>
              <c:idx val="1"/>
              <c:layout>
                <c:manualLayout>
                  <c:x val="3.6200524905770047E-3"/>
                  <c:y val="0.14351638246642603"/>
                </c:manualLayout>
              </c:layout>
              <c:showLegendKey val="0"/>
              <c:showVal val="0"/>
              <c:showCatName val="1"/>
              <c:showSerName val="0"/>
              <c:showPercent val="1"/>
              <c:showBubbleSize val="0"/>
              <c:extLst>
                <c:ext xmlns:c15="http://schemas.microsoft.com/office/drawing/2012/chart" uri="{CE6537A1-D6FC-4f65-9D91-7224C49458BB}">
                  <c15:layout>
                    <c:manualLayout>
                      <c:w val="0.22602447621080218"/>
                      <c:h val="0.14376855944995334"/>
                    </c:manualLayout>
                  </c15:layout>
                </c:ext>
                <c:ext xmlns:c16="http://schemas.microsoft.com/office/drawing/2014/chart" uri="{C3380CC4-5D6E-409C-BE32-E72D297353CC}">
                  <c16:uniqueId val="{00000003-A8A8-4269-820E-F366833B6DF4}"/>
                </c:ext>
              </c:extLst>
            </c:dLbl>
            <c:dLbl>
              <c:idx val="2"/>
              <c:layout>
                <c:manualLayout>
                  <c:x val="-0.14190943049622487"/>
                  <c:y val="8.5529488143053695E-2"/>
                </c:manualLayout>
              </c:layout>
              <c:showLegendKey val="0"/>
              <c:showVal val="0"/>
              <c:showCatName val="1"/>
              <c:showSerName val="0"/>
              <c:showPercent val="1"/>
              <c:showBubbleSize val="0"/>
              <c:extLst>
                <c:ext xmlns:c15="http://schemas.microsoft.com/office/drawing/2012/chart" uri="{CE6537A1-D6FC-4f65-9D91-7224C49458BB}">
                  <c15:layout>
                    <c:manualLayout>
                      <c:w val="0.21250732360676414"/>
                      <c:h val="0.14376855944995334"/>
                    </c:manualLayout>
                  </c15:layout>
                </c:ext>
                <c:ext xmlns:c16="http://schemas.microsoft.com/office/drawing/2014/chart" uri="{C3380CC4-5D6E-409C-BE32-E72D297353CC}">
                  <c16:uniqueId val="{00000005-A8A8-4269-820E-F366833B6DF4}"/>
                </c:ext>
              </c:extLst>
            </c:dLbl>
            <c:dLbl>
              <c:idx val="3"/>
              <c:layout>
                <c:manualLayout>
                  <c:x val="-0.11825785874685409"/>
                  <c:y val="0"/>
                </c:manualLayout>
              </c:layout>
              <c:showLegendKey val="0"/>
              <c:showVal val="0"/>
              <c:showCatName val="1"/>
              <c:showSerName val="0"/>
              <c:showPercent val="1"/>
              <c:showBubbleSize val="0"/>
              <c:extLst>
                <c:ext xmlns:c15="http://schemas.microsoft.com/office/drawing/2012/chart" uri="{CE6537A1-D6FC-4f65-9D91-7224C49458BB}">
                  <c15:layout>
                    <c:manualLayout>
                      <c:w val="0.10491576502033104"/>
                      <c:h val="0.14376855944995334"/>
                    </c:manualLayout>
                  </c15:layout>
                </c:ext>
                <c:ext xmlns:c16="http://schemas.microsoft.com/office/drawing/2014/chart" uri="{C3380CC4-5D6E-409C-BE32-E72D297353CC}">
                  <c16:uniqueId val="{00000007-A8A8-4269-820E-F366833B6DF4}"/>
                </c:ext>
              </c:extLst>
            </c:dLbl>
            <c:dLbl>
              <c:idx val="4"/>
              <c:layout>
                <c:manualLayout>
                  <c:x val="-0.11336889178293386"/>
                  <c:y val="-8.5673979475778247E-2"/>
                </c:manualLayout>
              </c:layout>
              <c:showLegendKey val="0"/>
              <c:showVal val="0"/>
              <c:showCatName val="1"/>
              <c:showSerName val="0"/>
              <c:showPercent val="1"/>
              <c:showBubbleSize val="0"/>
              <c:extLst>
                <c:ext xmlns:c15="http://schemas.microsoft.com/office/drawing/2012/chart" uri="{CE6537A1-D6FC-4f65-9D91-7224C49458BB}">
                  <c15:layout>
                    <c:manualLayout>
                      <c:w val="0.10491576502033104"/>
                      <c:h val="0.14376855944995334"/>
                    </c:manualLayout>
                  </c15:layout>
                </c:ext>
                <c:ext xmlns:c16="http://schemas.microsoft.com/office/drawing/2014/chart" uri="{C3380CC4-5D6E-409C-BE32-E72D297353CC}">
                  <c16:uniqueId val="{00000009-A8A8-4269-820E-F366833B6DF4}"/>
                </c:ext>
              </c:extLst>
            </c:dLbl>
            <c:spPr>
              <a:noFill/>
              <a:ln>
                <a:noFill/>
              </a:ln>
              <a:effectLst/>
            </c:spPr>
            <c:txPr>
              <a:bodyPr rot="0" spcFirstLastPara="1" vertOverflow="overflow" horzOverflow="overflow" vert="horz" wrap="non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a:noFill/>
                  <a:ln>
                    <a:noFill/>
                  </a:ln>
                </c15:spPr>
              </c:ext>
            </c:extLst>
          </c:dLbls>
          <c:cat>
            <c:strRef>
              <c:f>PivotTables!$J$4:$J$9</c:f>
              <c:strCache>
                <c:ptCount val="5"/>
                <c:pt idx="0">
                  <c:v>COD</c:v>
                </c:pt>
                <c:pt idx="1">
                  <c:v>Credit Card</c:v>
                </c:pt>
                <c:pt idx="2">
                  <c:v>Debit Card</c:v>
                </c:pt>
                <c:pt idx="3">
                  <c:v>EMI</c:v>
                </c:pt>
                <c:pt idx="4">
                  <c:v>UPI</c:v>
                </c:pt>
              </c:strCache>
            </c:strRef>
          </c:cat>
          <c:val>
            <c:numRef>
              <c:f>PivotTables!$K$4:$K$9</c:f>
              <c:numCache>
                <c:formatCode>0.00%</c:formatCode>
                <c:ptCount val="5"/>
                <c:pt idx="0">
                  <c:v>0.46755162241887904</c:v>
                </c:pt>
                <c:pt idx="1">
                  <c:v>0.14454277286135694</c:v>
                </c:pt>
                <c:pt idx="2">
                  <c:v>0.11061946902654868</c:v>
                </c:pt>
                <c:pt idx="3">
                  <c:v>0.12094395280235988</c:v>
                </c:pt>
                <c:pt idx="4">
                  <c:v>0.15634218289085547</c:v>
                </c:pt>
              </c:numCache>
            </c:numRef>
          </c:val>
          <c:extLst>
            <c:ext xmlns:c16="http://schemas.microsoft.com/office/drawing/2014/chart" uri="{C3380CC4-5D6E-409C-BE32-E72D297353CC}">
              <c16:uniqueId val="{0000000A-A8A8-4269-820E-F366833B6DF4}"/>
            </c:ext>
          </c:extLst>
        </c:ser>
        <c:dLbls>
          <c:showLegendKey val="0"/>
          <c:showVal val="0"/>
          <c:showCatName val="0"/>
          <c:showSerName val="0"/>
          <c:showPercent val="0"/>
          <c:showBubbleSize val="0"/>
          <c:showLeaderLines val="0"/>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rgbClr val="C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Analysis.xlsx]PivotTables!PivotTable10</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D">
                <a:solidFill>
                  <a:schemeClr val="bg1"/>
                </a:solidFill>
              </a:rPr>
              <a:t>Quantity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rgbClr val="0070C0"/>
          </a:solidFill>
          <a:ln w="19050">
            <a:solidFill>
              <a:schemeClr val="lt1"/>
            </a:solidFill>
          </a:ln>
          <a:effectLst/>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0070C0"/>
          </a:solidFill>
          <a:ln w="19050">
            <a:solidFill>
              <a:schemeClr val="lt1"/>
            </a:solidFill>
          </a:ln>
          <a:effectLst/>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00B050"/>
          </a:solidFill>
          <a:ln w="19050">
            <a:solidFill>
              <a:schemeClr val="lt1"/>
            </a:solidFill>
          </a:ln>
          <a:effectLst/>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0070C0"/>
          </a:solidFill>
          <a:ln w="19050">
            <a:noFill/>
          </a:ln>
          <a:effectLst/>
        </c:spPr>
        <c:dLbl>
          <c:idx val="0"/>
          <c:layout>
            <c:manualLayout>
              <c:x val="0.152444236545732"/>
              <c:y val="8.1818866607990995E-2"/>
            </c:manualLayout>
          </c:layout>
          <c:spPr>
            <a:noFill/>
            <a:ln>
              <a:noFill/>
            </a:ln>
            <a:effectLst/>
          </c:spPr>
          <c:txPr>
            <a:bodyPr rot="0" spcFirstLastPara="1" vertOverflow="overflow" horzOverflow="overflow" vert="horz" wrap="non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1"/>
          </a:solidFill>
          <a:ln w="19050">
            <a:noFill/>
          </a:ln>
          <a:effectLst/>
        </c:spPr>
        <c:dLbl>
          <c:idx val="0"/>
          <c:layout>
            <c:manualLayout>
              <c:x val="-0.16168328118486747"/>
              <c:y val="0.10070014351752737"/>
            </c:manualLayout>
          </c:layout>
          <c:spPr>
            <a:noFill/>
            <a:ln>
              <a:noFill/>
            </a:ln>
            <a:effectLst/>
          </c:spPr>
          <c:txPr>
            <a:bodyPr rot="0" spcFirstLastPara="1" vertOverflow="clip" horzOverflow="clip" vert="horz" wrap="non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rgbClr val="00B050"/>
          </a:solidFill>
          <a:ln w="19050">
            <a:noFill/>
          </a:ln>
          <a:effectLst/>
        </c:spPr>
        <c:dLbl>
          <c:idx val="0"/>
          <c:layout>
            <c:manualLayout>
              <c:x val="-0.10162949103048811"/>
              <c:y val="-0.12587517939690923"/>
            </c:manualLayout>
          </c:layout>
          <c:spPr>
            <a:noFill/>
            <a:ln>
              <a:noFill/>
            </a:ln>
            <a:effectLst/>
          </c:spPr>
          <c:txPr>
            <a:bodyPr rot="0" spcFirstLastPara="1" vertOverflow="overflow" horzOverflow="overflow" vert="horz" wrap="non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doughnutChart>
        <c:varyColors val="1"/>
        <c:ser>
          <c:idx val="0"/>
          <c:order val="0"/>
          <c:tx>
            <c:strRef>
              <c:f>PivotTables!$K$11</c:f>
              <c:strCache>
                <c:ptCount val="1"/>
                <c:pt idx="0">
                  <c:v>Total</c:v>
                </c:pt>
              </c:strCache>
            </c:strRef>
          </c:tx>
          <c:spPr>
            <a:ln>
              <a:noFill/>
            </a:ln>
          </c:spPr>
          <c:dPt>
            <c:idx val="0"/>
            <c:bubble3D val="0"/>
            <c:spPr>
              <a:solidFill>
                <a:srgbClr val="0070C0"/>
              </a:solidFill>
              <a:ln w="19050">
                <a:noFill/>
              </a:ln>
              <a:effectLst/>
            </c:spPr>
            <c:extLst>
              <c:ext xmlns:c16="http://schemas.microsoft.com/office/drawing/2014/chart" uri="{C3380CC4-5D6E-409C-BE32-E72D297353CC}">
                <c16:uniqueId val="{00000001-3FD3-49FC-83A8-3F2817E3D7DE}"/>
              </c:ext>
            </c:extLst>
          </c:dPt>
          <c:dPt>
            <c:idx val="1"/>
            <c:bubble3D val="0"/>
            <c:spPr>
              <a:solidFill>
                <a:schemeClr val="accent2"/>
              </a:solidFill>
              <a:ln w="19050">
                <a:noFill/>
              </a:ln>
              <a:effectLst/>
            </c:spPr>
            <c:extLst>
              <c:ext xmlns:c16="http://schemas.microsoft.com/office/drawing/2014/chart" uri="{C3380CC4-5D6E-409C-BE32-E72D297353CC}">
                <c16:uniqueId val="{00000003-3FD3-49FC-83A8-3F2817E3D7DE}"/>
              </c:ext>
            </c:extLst>
          </c:dPt>
          <c:dPt>
            <c:idx val="2"/>
            <c:bubble3D val="0"/>
            <c:spPr>
              <a:solidFill>
                <a:srgbClr val="00B050"/>
              </a:solidFill>
              <a:ln w="19050">
                <a:noFill/>
              </a:ln>
              <a:effectLst/>
            </c:spPr>
            <c:extLst>
              <c:ext xmlns:c16="http://schemas.microsoft.com/office/drawing/2014/chart" uri="{C3380CC4-5D6E-409C-BE32-E72D297353CC}">
                <c16:uniqueId val="{00000005-3FD3-49FC-83A8-3F2817E3D7DE}"/>
              </c:ext>
            </c:extLst>
          </c:dPt>
          <c:dLbls>
            <c:dLbl>
              <c:idx val="0"/>
              <c:layout>
                <c:manualLayout>
                  <c:x val="0.152444236545732"/>
                  <c:y val="8.1818866607990995E-2"/>
                </c:manualLayout>
              </c:layout>
              <c:spPr>
                <a:noFill/>
                <a:ln>
                  <a:noFill/>
                </a:ln>
                <a:effectLst/>
              </c:spPr>
              <c:txPr>
                <a:bodyPr rot="0" spcFirstLastPara="1" vertOverflow="overflow" horzOverflow="overflow" vert="horz" wrap="non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1-3FD3-49FC-83A8-3F2817E3D7DE}"/>
                </c:ext>
              </c:extLst>
            </c:dLbl>
            <c:dLbl>
              <c:idx val="1"/>
              <c:layout>
                <c:manualLayout>
                  <c:x val="-0.16168328118486747"/>
                  <c:y val="0.10070014351752737"/>
                </c:manualLayout>
              </c:layout>
              <c:spPr>
                <a:noFill/>
                <a:ln>
                  <a:noFill/>
                </a:ln>
                <a:effectLst/>
              </c:spPr>
              <c:txPr>
                <a:bodyPr rot="0" spcFirstLastPara="1" vertOverflow="clip" horzOverflow="clip" vert="horz" wrap="non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3-3FD3-49FC-83A8-3F2817E3D7DE}"/>
                </c:ext>
              </c:extLst>
            </c:dLbl>
            <c:dLbl>
              <c:idx val="2"/>
              <c:layout>
                <c:manualLayout>
                  <c:x val="-0.10162949103048811"/>
                  <c:y val="-0.12587517939690923"/>
                </c:manualLayout>
              </c:layout>
              <c:spPr>
                <a:noFill/>
                <a:ln>
                  <a:noFill/>
                </a:ln>
                <a:effectLst/>
              </c:spPr>
              <c:txPr>
                <a:bodyPr rot="0" spcFirstLastPara="1" vertOverflow="overflow" horzOverflow="overflow" vert="horz" wrap="non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5-3FD3-49FC-83A8-3F2817E3D7DE}"/>
                </c:ext>
              </c:extLst>
            </c:dLbl>
            <c:spPr>
              <a:noFill/>
              <a:ln>
                <a:noFill/>
              </a:ln>
              <a:effectLst/>
            </c:spPr>
            <c:txPr>
              <a:bodyPr rot="0" spcFirstLastPara="1" vertOverflow="overflow" horzOverflow="overflow"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PivotTables!$J$12:$J$15</c:f>
              <c:strCache>
                <c:ptCount val="3"/>
                <c:pt idx="0">
                  <c:v>Clothing</c:v>
                </c:pt>
                <c:pt idx="1">
                  <c:v>Electronics</c:v>
                </c:pt>
                <c:pt idx="2">
                  <c:v>Furniture</c:v>
                </c:pt>
              </c:strCache>
            </c:strRef>
          </c:cat>
          <c:val>
            <c:numRef>
              <c:f>PivotTables!$K$12:$K$15</c:f>
              <c:numCache>
                <c:formatCode>General</c:formatCode>
                <c:ptCount val="3"/>
                <c:pt idx="0">
                  <c:v>379</c:v>
                </c:pt>
                <c:pt idx="1">
                  <c:v>165</c:v>
                </c:pt>
                <c:pt idx="2">
                  <c:v>134</c:v>
                </c:pt>
              </c:numCache>
            </c:numRef>
          </c:val>
          <c:extLst>
            <c:ext xmlns:c16="http://schemas.microsoft.com/office/drawing/2014/chart" uri="{C3380CC4-5D6E-409C-BE32-E72D297353CC}">
              <c16:uniqueId val="{00000006-3FD3-49FC-83A8-3F2817E3D7DE}"/>
            </c:ext>
          </c:extLst>
        </c:ser>
        <c:dLbls>
          <c:showLegendKey val="0"/>
          <c:showVal val="1"/>
          <c:showCatName val="0"/>
          <c:showSerName val="0"/>
          <c:showPercent val="0"/>
          <c:showBubbleSize val="0"/>
          <c:showLeaderLines val="0"/>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rgbClr val="C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Analysis.xlsx]PivotTables!PivotTable8</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Profit by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00B050"/>
          </a:solidFill>
          <a:ln>
            <a:noFill/>
          </a:ln>
          <a:effectLst/>
        </c:spPr>
      </c:pivotFmt>
      <c:pivotFmt>
        <c:idx val="3"/>
        <c:spPr>
          <a:solidFill>
            <a:srgbClr val="0070C0"/>
          </a:solidFill>
          <a:ln>
            <a:noFill/>
          </a:ln>
          <a:effectLst/>
        </c:spPr>
      </c:pivotFmt>
      <c:pivotFmt>
        <c:idx val="4"/>
        <c:spPr>
          <a:solidFill>
            <a:srgbClr val="FFFF00"/>
          </a:solidFill>
          <a:ln>
            <a:noFill/>
          </a:ln>
          <a:effectLst/>
        </c:spPr>
      </c:pivotFmt>
      <c:pivotFmt>
        <c:idx val="5"/>
        <c:spPr>
          <a:solidFill>
            <a:schemeClr val="accent5">
              <a:lumMod val="60000"/>
              <a:lumOff val="4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pivotFmt>
      <c:pivotFmt>
        <c:idx val="8"/>
        <c:spPr>
          <a:solidFill>
            <a:srgbClr val="00B050"/>
          </a:solidFill>
          <a:ln>
            <a:noFill/>
          </a:ln>
          <a:effectLst/>
        </c:spPr>
      </c:pivotFmt>
      <c:pivotFmt>
        <c:idx val="9"/>
        <c:spPr>
          <a:solidFill>
            <a:srgbClr val="0070C0"/>
          </a:solidFill>
          <a:ln>
            <a:noFill/>
          </a:ln>
          <a:effectLst/>
        </c:spPr>
      </c:pivotFmt>
      <c:pivotFmt>
        <c:idx val="10"/>
        <c:spPr>
          <a:solidFill>
            <a:srgbClr val="FFFF00"/>
          </a:solidFill>
          <a:ln>
            <a:noFill/>
          </a:ln>
          <a:effectLst/>
        </c:spPr>
      </c:pivotFmt>
      <c:pivotFmt>
        <c:idx val="11"/>
        <c:spPr>
          <a:solidFill>
            <a:schemeClr val="accent5">
              <a:lumMod val="60000"/>
              <a:lumOff val="4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0000"/>
          </a:solidFill>
          <a:ln>
            <a:noFill/>
          </a:ln>
          <a:effectLst/>
        </c:spPr>
      </c:pivotFmt>
      <c:pivotFmt>
        <c:idx val="14"/>
        <c:spPr>
          <a:solidFill>
            <a:srgbClr val="00B050"/>
          </a:solidFill>
          <a:ln>
            <a:noFill/>
          </a:ln>
          <a:effectLst/>
        </c:spPr>
      </c:pivotFmt>
      <c:pivotFmt>
        <c:idx val="15"/>
        <c:spPr>
          <a:solidFill>
            <a:srgbClr val="0070C0"/>
          </a:solidFill>
          <a:ln>
            <a:noFill/>
          </a:ln>
          <a:effectLst/>
        </c:spPr>
      </c:pivotFmt>
      <c:pivotFmt>
        <c:idx val="16"/>
        <c:spPr>
          <a:solidFill>
            <a:srgbClr val="FFFF00"/>
          </a:solidFill>
          <a:ln>
            <a:noFill/>
          </a:ln>
          <a:effectLst/>
        </c:spPr>
      </c:pivotFmt>
      <c:pivotFmt>
        <c:idx val="17"/>
        <c:spPr>
          <a:solidFill>
            <a:schemeClr val="accent5">
              <a:lumMod val="60000"/>
              <a:lumOff val="40000"/>
            </a:schemeClr>
          </a:solidFill>
          <a:ln>
            <a:noFill/>
          </a:ln>
          <a:effectLst/>
        </c:spPr>
      </c:pivotFmt>
    </c:pivotFmts>
    <c:plotArea>
      <c:layout>
        <c:manualLayout>
          <c:layoutTarget val="inner"/>
          <c:xMode val="edge"/>
          <c:yMode val="edge"/>
          <c:x val="0.17178363453083709"/>
          <c:y val="0.20554248229007244"/>
          <c:w val="0.76242578300474373"/>
          <c:h val="0.60007221802665323"/>
        </c:manualLayout>
      </c:layout>
      <c:barChart>
        <c:barDir val="col"/>
        <c:grouping val="clustered"/>
        <c:varyColors val="0"/>
        <c:ser>
          <c:idx val="0"/>
          <c:order val="0"/>
          <c:tx>
            <c:strRef>
              <c:f>PivotTables!$H$3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4496-473A-831C-F5E94F88E2B9}"/>
              </c:ext>
            </c:extLst>
          </c:dPt>
          <c:dPt>
            <c:idx val="1"/>
            <c:invertIfNegative val="0"/>
            <c:bubble3D val="0"/>
            <c:spPr>
              <a:solidFill>
                <a:srgbClr val="00B050"/>
              </a:solidFill>
              <a:ln>
                <a:noFill/>
              </a:ln>
              <a:effectLst/>
            </c:spPr>
            <c:extLst>
              <c:ext xmlns:c16="http://schemas.microsoft.com/office/drawing/2014/chart" uri="{C3380CC4-5D6E-409C-BE32-E72D297353CC}">
                <c16:uniqueId val="{00000003-4496-473A-831C-F5E94F88E2B9}"/>
              </c:ext>
            </c:extLst>
          </c:dPt>
          <c:dPt>
            <c:idx val="2"/>
            <c:invertIfNegative val="0"/>
            <c:bubble3D val="0"/>
            <c:spPr>
              <a:solidFill>
                <a:srgbClr val="FF0000"/>
              </a:solidFill>
              <a:ln>
                <a:noFill/>
              </a:ln>
              <a:effectLst/>
            </c:spPr>
            <c:extLst>
              <c:ext xmlns:c16="http://schemas.microsoft.com/office/drawing/2014/chart" uri="{C3380CC4-5D6E-409C-BE32-E72D297353CC}">
                <c16:uniqueId val="{00000005-4496-473A-831C-F5E94F88E2B9}"/>
              </c:ext>
            </c:extLst>
          </c:dPt>
          <c:dPt>
            <c:idx val="3"/>
            <c:invertIfNegative val="0"/>
            <c:bubble3D val="0"/>
            <c:spPr>
              <a:solidFill>
                <a:srgbClr val="FFFF00"/>
              </a:solidFill>
              <a:ln>
                <a:noFill/>
              </a:ln>
              <a:effectLst/>
            </c:spPr>
            <c:extLst>
              <c:ext xmlns:c16="http://schemas.microsoft.com/office/drawing/2014/chart" uri="{C3380CC4-5D6E-409C-BE32-E72D297353CC}">
                <c16:uniqueId val="{00000007-4496-473A-831C-F5E94F88E2B9}"/>
              </c:ext>
            </c:extLst>
          </c:dPt>
          <c:dPt>
            <c:idx val="4"/>
            <c:invertIfNegative val="0"/>
            <c:bubble3D val="0"/>
            <c:spPr>
              <a:solidFill>
                <a:srgbClr val="0070C0"/>
              </a:solidFill>
              <a:ln>
                <a:noFill/>
              </a:ln>
              <a:effectLst/>
            </c:spPr>
            <c:extLst>
              <c:ext xmlns:c16="http://schemas.microsoft.com/office/drawing/2014/chart" uri="{C3380CC4-5D6E-409C-BE32-E72D297353CC}">
                <c16:uniqueId val="{00000009-4496-473A-831C-F5E94F88E2B9}"/>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PivotTables!$G$4:$G$9</c:f>
              <c:strCache>
                <c:ptCount val="5"/>
                <c:pt idx="0">
                  <c:v>Phones</c:v>
                </c:pt>
                <c:pt idx="1">
                  <c:v>Bookcases</c:v>
                </c:pt>
                <c:pt idx="2">
                  <c:v>Accessories</c:v>
                </c:pt>
                <c:pt idx="3">
                  <c:v>Printers</c:v>
                </c:pt>
                <c:pt idx="4">
                  <c:v>Chairs</c:v>
                </c:pt>
              </c:strCache>
            </c:strRef>
          </c:cat>
          <c:val>
            <c:numRef>
              <c:f>PivotTables!$H$4:$H$9</c:f>
              <c:numCache>
                <c:formatCode>#,\K</c:formatCode>
                <c:ptCount val="5"/>
                <c:pt idx="0">
                  <c:v>2277</c:v>
                </c:pt>
                <c:pt idx="1">
                  <c:v>2209</c:v>
                </c:pt>
                <c:pt idx="2">
                  <c:v>1843</c:v>
                </c:pt>
                <c:pt idx="3">
                  <c:v>1490</c:v>
                </c:pt>
                <c:pt idx="4">
                  <c:v>1189</c:v>
                </c:pt>
              </c:numCache>
            </c:numRef>
          </c:val>
          <c:extLst>
            <c:ext xmlns:c16="http://schemas.microsoft.com/office/drawing/2014/chart" uri="{C3380CC4-5D6E-409C-BE32-E72D297353CC}">
              <c16:uniqueId val="{0000000A-4496-473A-831C-F5E94F88E2B9}"/>
            </c:ext>
          </c:extLst>
        </c:ser>
        <c:dLbls>
          <c:dLblPos val="outEnd"/>
          <c:showLegendKey val="0"/>
          <c:showVal val="1"/>
          <c:showCatName val="0"/>
          <c:showSerName val="0"/>
          <c:showPercent val="0"/>
          <c:showBubbleSize val="0"/>
        </c:dLbls>
        <c:gapWidth val="30"/>
        <c:overlap val="-72"/>
        <c:axId val="1479713040"/>
        <c:axId val="1479710160"/>
      </c:barChart>
      <c:catAx>
        <c:axId val="147971304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79710160"/>
        <c:crosses val="autoZero"/>
        <c:auto val="1"/>
        <c:lblAlgn val="ctr"/>
        <c:lblOffset val="100"/>
        <c:tickLblSkip val="1"/>
        <c:noMultiLvlLbl val="0"/>
      </c:catAx>
      <c:valAx>
        <c:axId val="1479710160"/>
        <c:scaling>
          <c:orientation val="minMax"/>
        </c:scaling>
        <c:delete val="1"/>
        <c:axPos val="l"/>
        <c:numFmt formatCode="#,\K" sourceLinked="1"/>
        <c:majorTickMark val="out"/>
        <c:minorTickMark val="none"/>
        <c:tickLblPos val="nextTo"/>
        <c:crossAx val="1479713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rgbClr val="C00000"/>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Analysis.xlsx]PivotTables!PivotTable20</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Profit</a:t>
            </a:r>
            <a:r>
              <a:rPr lang="en-US" baseline="0">
                <a:solidFill>
                  <a:schemeClr val="bg1"/>
                </a:solidFill>
              </a:rPr>
              <a:t> by Month</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pivotFmt>
      <c:pivotFmt>
        <c:idx val="4"/>
        <c:spPr>
          <a:solidFill>
            <a:srgbClr val="0070C0"/>
          </a:solidFill>
          <a:ln>
            <a:noFill/>
          </a:ln>
          <a:effectLst/>
        </c:spPr>
      </c:pivotFmt>
      <c:pivotFmt>
        <c:idx val="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PivotTables!$K$19</c:f>
              <c:strCache>
                <c:ptCount val="1"/>
                <c:pt idx="0">
                  <c:v>Sum of PositiveProfit</c:v>
                </c:pt>
              </c:strCache>
            </c:strRef>
          </c:tx>
          <c:spPr>
            <a:solidFill>
              <a:srgbClr val="0070C0"/>
            </a:solidFill>
            <a:ln>
              <a:noFill/>
            </a:ln>
            <a:effectLst/>
          </c:spPr>
          <c:invertIfNegative val="0"/>
          <c:cat>
            <c:strRef>
              <c:f>PivotTables!$J$20:$J$23</c:f>
              <c:strCache>
                <c:ptCount val="3"/>
                <c:pt idx="0">
                  <c:v>Jan</c:v>
                </c:pt>
                <c:pt idx="1">
                  <c:v>Feb</c:v>
                </c:pt>
                <c:pt idx="2">
                  <c:v>Mar</c:v>
                </c:pt>
              </c:strCache>
            </c:strRef>
          </c:cat>
          <c:val>
            <c:numRef>
              <c:f>PivotTables!$K$20:$K$23</c:f>
              <c:numCache>
                <c:formatCode>#,\K</c:formatCode>
                <c:ptCount val="3"/>
                <c:pt idx="0">
                  <c:v>4502</c:v>
                </c:pt>
                <c:pt idx="1">
                  <c:v>5271</c:v>
                </c:pt>
                <c:pt idx="2">
                  <c:v>2843</c:v>
                </c:pt>
              </c:numCache>
            </c:numRef>
          </c:val>
          <c:extLst>
            <c:ext xmlns:c16="http://schemas.microsoft.com/office/drawing/2014/chart" uri="{C3380CC4-5D6E-409C-BE32-E72D297353CC}">
              <c16:uniqueId val="{00000000-44B1-4BB9-A880-16D46355A4F8}"/>
            </c:ext>
          </c:extLst>
        </c:ser>
        <c:ser>
          <c:idx val="1"/>
          <c:order val="1"/>
          <c:tx>
            <c:strRef>
              <c:f>PivotTables!$L$19</c:f>
              <c:strCache>
                <c:ptCount val="1"/>
                <c:pt idx="0">
                  <c:v>Sum of NegativeProfit</c:v>
                </c:pt>
              </c:strCache>
            </c:strRef>
          </c:tx>
          <c:spPr>
            <a:solidFill>
              <a:srgbClr val="FF0000"/>
            </a:solidFill>
            <a:ln>
              <a:noFill/>
            </a:ln>
            <a:effectLst/>
          </c:spPr>
          <c:invertIfNegative val="0"/>
          <c:cat>
            <c:strRef>
              <c:f>PivotTables!$J$20:$J$23</c:f>
              <c:strCache>
                <c:ptCount val="3"/>
                <c:pt idx="0">
                  <c:v>Jan</c:v>
                </c:pt>
                <c:pt idx="1">
                  <c:v>Feb</c:v>
                </c:pt>
                <c:pt idx="2">
                  <c:v>Mar</c:v>
                </c:pt>
              </c:strCache>
            </c:strRef>
          </c:cat>
          <c:val>
            <c:numRef>
              <c:f>PivotTables!$L$20:$L$23</c:f>
              <c:numCache>
                <c:formatCode>#,\K</c:formatCode>
                <c:ptCount val="3"/>
                <c:pt idx="0">
                  <c:v>0</c:v>
                </c:pt>
                <c:pt idx="1">
                  <c:v>0</c:v>
                </c:pt>
                <c:pt idx="2">
                  <c:v>0</c:v>
                </c:pt>
              </c:numCache>
            </c:numRef>
          </c:val>
          <c:extLst>
            <c:ext xmlns:c16="http://schemas.microsoft.com/office/drawing/2014/chart" uri="{C3380CC4-5D6E-409C-BE32-E72D297353CC}">
              <c16:uniqueId val="{00000001-44B1-4BB9-A880-16D46355A4F8}"/>
            </c:ext>
          </c:extLst>
        </c:ser>
        <c:dLbls>
          <c:showLegendKey val="0"/>
          <c:showVal val="0"/>
          <c:showCatName val="0"/>
          <c:showSerName val="0"/>
          <c:showPercent val="0"/>
          <c:showBubbleSize val="0"/>
        </c:dLbls>
        <c:gapWidth val="30"/>
        <c:overlap val="100"/>
        <c:axId val="1675935472"/>
        <c:axId val="1675923472"/>
      </c:barChart>
      <c:catAx>
        <c:axId val="1675935472"/>
        <c:scaling>
          <c:orientation val="minMax"/>
        </c:scaling>
        <c:delete val="0"/>
        <c:axPos val="b"/>
        <c:numFmt formatCode="General" sourceLinked="1"/>
        <c:majorTickMark val="none"/>
        <c:minorTickMark val="none"/>
        <c:tickLblPos val="low"/>
        <c:spPr>
          <a:noFill/>
          <a:ln w="9525" cap="flat" cmpd="sng" algn="ctr">
            <a:noFill/>
            <a:round/>
          </a:ln>
          <a:effectLst/>
        </c:spPr>
        <c:txPr>
          <a:bodyPr rot="0" spcFirstLastPara="1" vertOverflow="ellipsis" wrap="square" anchor="ctr" anchorCtr="0"/>
          <a:lstStyle/>
          <a:p>
            <a:pPr>
              <a:defRPr sz="900" b="0" i="0" u="none" strike="noStrike" kern="1200" baseline="0">
                <a:solidFill>
                  <a:schemeClr val="bg1"/>
                </a:solidFill>
                <a:latin typeface="+mn-lt"/>
                <a:ea typeface="+mn-ea"/>
                <a:cs typeface="+mn-cs"/>
              </a:defRPr>
            </a:pPr>
            <a:endParaRPr lang="en-US"/>
          </a:p>
        </c:txPr>
        <c:crossAx val="1675923472"/>
        <c:crosses val="autoZero"/>
        <c:auto val="1"/>
        <c:lblAlgn val="ctr"/>
        <c:lblOffset val="100"/>
        <c:noMultiLvlLbl val="0"/>
      </c:catAx>
      <c:valAx>
        <c:axId val="1675923472"/>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75935472"/>
        <c:crosses val="autoZero"/>
        <c:crossBetween val="between"/>
        <c:majorUnit val="6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rgbClr val="C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Analysis.xlsx]PivotTables!PivotTable3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PivotTables!$B$3</c:f>
              <c:strCache>
                <c:ptCount val="1"/>
                <c:pt idx="0">
                  <c:v>Total</c:v>
                </c:pt>
              </c:strCache>
            </c:strRef>
          </c:tx>
          <c:spPr>
            <a:solidFill>
              <a:schemeClr val="accent1"/>
            </a:solidFill>
            <a:ln>
              <a:noFill/>
            </a:ln>
            <a:effectLst/>
          </c:spPr>
          <c:invertIfNegative val="0"/>
          <c:cat>
            <c:strRef>
              <c:f>PivotTables!$A$4:$A$10</c:f>
              <c:strCache>
                <c:ptCount val="6"/>
                <c:pt idx="0">
                  <c:v>Maharashtra</c:v>
                </c:pt>
                <c:pt idx="1">
                  <c:v>Madhya Pradesh</c:v>
                </c:pt>
                <c:pt idx="2">
                  <c:v>Uttar Pradesh</c:v>
                </c:pt>
                <c:pt idx="3">
                  <c:v>Delhi</c:v>
                </c:pt>
                <c:pt idx="4">
                  <c:v>Punjab</c:v>
                </c:pt>
                <c:pt idx="5">
                  <c:v>West Bengal</c:v>
                </c:pt>
              </c:strCache>
            </c:strRef>
          </c:cat>
          <c:val>
            <c:numRef>
              <c:f>PivotTables!$B$4:$B$10</c:f>
              <c:numCache>
                <c:formatCode>#,\K</c:formatCode>
                <c:ptCount val="6"/>
                <c:pt idx="0">
                  <c:v>12730</c:v>
                </c:pt>
                <c:pt idx="1">
                  <c:v>9629</c:v>
                </c:pt>
                <c:pt idx="2">
                  <c:v>7138</c:v>
                </c:pt>
                <c:pt idx="3">
                  <c:v>5570</c:v>
                </c:pt>
                <c:pt idx="4">
                  <c:v>5221</c:v>
                </c:pt>
                <c:pt idx="5">
                  <c:v>4253</c:v>
                </c:pt>
              </c:numCache>
            </c:numRef>
          </c:val>
          <c:extLst>
            <c:ext xmlns:c16="http://schemas.microsoft.com/office/drawing/2014/chart" uri="{C3380CC4-5D6E-409C-BE32-E72D297353CC}">
              <c16:uniqueId val="{00000000-46E0-4CD1-985A-EAC982E352AF}"/>
            </c:ext>
          </c:extLst>
        </c:ser>
        <c:dLbls>
          <c:showLegendKey val="0"/>
          <c:showVal val="0"/>
          <c:showCatName val="0"/>
          <c:showSerName val="0"/>
          <c:showPercent val="0"/>
          <c:showBubbleSize val="0"/>
        </c:dLbls>
        <c:gapWidth val="182"/>
        <c:axId val="221354544"/>
        <c:axId val="221356944"/>
      </c:barChart>
      <c:catAx>
        <c:axId val="221354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356944"/>
        <c:crosses val="autoZero"/>
        <c:auto val="1"/>
        <c:lblAlgn val="ctr"/>
        <c:lblOffset val="100"/>
        <c:noMultiLvlLbl val="0"/>
      </c:catAx>
      <c:valAx>
        <c:axId val="221356944"/>
        <c:scaling>
          <c:orientation val="minMax"/>
        </c:scaling>
        <c:delete val="0"/>
        <c:axPos val="b"/>
        <c:majorGridlines>
          <c:spPr>
            <a:ln w="9525" cap="flat" cmpd="sng" algn="ctr">
              <a:solidFill>
                <a:schemeClr val="tx1">
                  <a:lumMod val="15000"/>
                  <a:lumOff val="85000"/>
                </a:schemeClr>
              </a:solidFill>
              <a:round/>
            </a:ln>
            <a:effectLst/>
          </c:spPr>
        </c:majorGridlines>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35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tx>
        <cx:txData>
          <cx:v>Profit by State</cx:v>
        </cx:txData>
      </cx:tx>
      <cx:txPr>
        <a:bodyPr spcFirstLastPara="1" vertOverflow="ellipsis" horzOverflow="overflow" wrap="square" lIns="0" tIns="0" rIns="0" bIns="0" anchor="ctr" anchorCtr="1"/>
        <a:lstStyle/>
        <a:p>
          <a:pPr algn="ctr" rtl="0">
            <a:defRPr/>
          </a:pPr>
          <a:r>
            <a:rPr lang="en-US" sz="1400" b="0" i="0" u="none" strike="noStrike" baseline="0">
              <a:solidFill>
                <a:schemeClr val="bg1"/>
              </a:solidFill>
              <a:latin typeface="Aptos Narrow" panose="02110004020202020204"/>
            </a:rPr>
            <a:t>Profit by State</a:t>
          </a:r>
        </a:p>
      </cx:txPr>
    </cx:title>
    <cx:plotArea>
      <cx:plotAreaRegion>
        <cx:series layoutId="regionMap" uniqueId="{27697EEF-B007-4823-9BEA-8554BC3F679D}">
          <cx:spPr>
            <a:ln>
              <a:noFill/>
            </a:ln>
          </cx:spPr>
          <cx:dataLabels>
            <cx:spPr>
              <a:noFill/>
            </cx:spPr>
            <cx:txPr>
              <a:bodyPr spcFirstLastPara="1" vertOverflow="ellipsis" horzOverflow="overflow" wrap="square" lIns="0" tIns="0" rIns="0" bIns="0" anchor="ctr" anchorCtr="1"/>
              <a:lstStyle/>
              <a:p>
                <a:pPr algn="ctr" rtl="0">
                  <a:defRPr sz="400" baseline="0">
                    <a:solidFill>
                      <a:schemeClr val="bg1"/>
                    </a:solidFill>
                  </a:defRPr>
                </a:pPr>
                <a:endParaRPr lang="en-US" sz="400" b="0" i="0" u="none" strike="noStrike" baseline="0">
                  <a:solidFill>
                    <a:schemeClr val="bg1"/>
                  </a:solidFill>
                  <a:latin typeface="Aptos Narrow" panose="02110004020202020204"/>
                </a:endParaRPr>
              </a:p>
            </cx:txPr>
            <cx:visibility seriesName="0" categoryName="0" value="1"/>
            <cx:separator> </cx:separator>
            <cx:dataLabel idx="1">
              <cx:txPr>
                <a:bodyPr spcFirstLastPara="1" vertOverflow="ellipsis" horzOverflow="overflow" wrap="square" lIns="0" tIns="0" rIns="0" bIns="0" anchor="ctr" anchorCtr="1"/>
                <a:lstStyle/>
                <a:p>
                  <a:pPr algn="ctr" rtl="0">
                    <a:defRPr/>
                  </a:pPr>
                  <a:r>
                    <a:rPr lang="en-US" sz="400" b="0" i="0" u="none" strike="noStrike" baseline="0">
                      <a:solidFill>
                        <a:sysClr val="windowText" lastClr="000000">
                          <a:lumMod val="65000"/>
                          <a:lumOff val="35000"/>
                        </a:sysClr>
                      </a:solidFill>
                      <a:latin typeface="Aptos Narrow" panose="02110004020202020204"/>
                    </a:rPr>
                    <a:t>10K</a:t>
                  </a:r>
                </a:p>
              </cx:txPr>
              <cx:visibility seriesName="0" categoryName="0" value="1"/>
              <cx:separator> </cx:separator>
            </cx:dataLabel>
            <cx:dataLabel idx="2">
              <cx:txPr>
                <a:bodyPr spcFirstLastPara="1" vertOverflow="ellipsis" horzOverflow="overflow" wrap="square" lIns="0" tIns="0" rIns="0" bIns="0" anchor="ctr" anchorCtr="1"/>
                <a:lstStyle/>
                <a:p>
                  <a:pPr algn="ctr" rtl="0">
                    <a:defRPr/>
                  </a:pPr>
                  <a:r>
                    <a:rPr lang="en-US" sz="400" b="0" i="0" u="none" strike="noStrike" baseline="0">
                      <a:solidFill>
                        <a:sysClr val="windowText" lastClr="000000">
                          <a:lumMod val="65000"/>
                          <a:lumOff val="35000"/>
                        </a:sysClr>
                      </a:solidFill>
                      <a:latin typeface="Aptos Narrow" panose="02110004020202020204"/>
                    </a:rPr>
                    <a:t>7K</a:t>
                  </a:r>
                </a:p>
              </cx:txPr>
              <cx:separator>
</cx:separator>
            </cx:dataLabel>
          </cx:dataLabels>
          <cx:dataId val="0"/>
          <cx:layoutPr>
            <cx:geography cultureLanguage="en-US" cultureRegion="ID" attribution="Powered by Bing">
              <cx:geoCache provider="{E9337A44-BEBE-4D9F-B70C-5C5E7DAFC167}">
                <cx:binary>1H1Zk9w2su5fUej5Usa+TIzPA2uhurVYmy3LL4yW1OJOggDB7dffbMl2qDHd6jm4EzfO0YvDVV1g
VmZ+mYnEh6x/flr/8am9vrKP1q7t3T8+rT8/LqfJ/OOnn9yn8rq7ck+66pMd3PBlevJp6H4avnyp
Pl3/9NleLVVf/EQQZj99Kq/sdL0+/q9/wmrF9fB8+HQ1VUP/2l/b7c218+3kfvDenW89uvrcVf2x
cpOtPk3458fvr930KL3ui6v28aPrfqqm7d1mrn9+fOsPHz/6KVzuXx79qAXpJv8ZPkvoE8UZ5kjK
x4/aoS/+fF3JJ1oSoRnV3/7xv5758qqDz/2bwnwV5erzZ3vtHHyhr/8NPnxLengvffzo0+D76UZx
Bejw58cX/efq6vGjyg2Hb28chhvRL15+/a4/3Vb5f/0zeAG+ffDKd1YJVfXQW/9ilBdXYPorV04W
JPxPGQXrJ4wTpCjX6Os/fMs2UjzBSGlK2N22+Tdluts2tz4c2ObF0/9ltvlcblePXtmrz9eu/M+Z
BzDDqcKSc3WnedQTopQWlOJv9qF/PfobdF5c/bti3Weh258PjfTqf5WRfp0miL3/eRuJJ5pQLjD+
ZiJ0G0IKPeFCUE7Un/EtsNG/LdXdJgo+Hljo1/9dFjpet2X1lwv/BzKOeiIYpRoJcSd65BOMOZOK
/4ke8dejv6HnQWnutsifHwsscXz+Pxord+fB77PMrb/476Z+8gQAwBFR5JshyO0so59QQYVElH97
GwqEb4/+Zog/s/L90txtiD8/dkvw/9kp/pXv66uPf335/3cAUPREMYK5JrdLLsmfMCwU0kjemTce
luNujf/1ucD3X/1/LrTuL8L+rk+PV9PV6Wth+10d9uN3v35lqLiDj94qxW752l92vPj882OMIez/
XS7fLHG/h//999dXbvr5sZZgLCwp55QJIbXQjx8tUKD//FioJ1hD8FIIqjeAFoXM0w92Kn9+TPkT
jrAWSHKoqxm/ecsN/uYt8UQKBC8qSSR4gdbk783Eq6HdiqH/Ww9//v+j3nevhqqf3M+P2eNH5ttf
3YiZEMwkk5wiBK9/unoD+xT4I/x/XL7mQ1Np8bTER81/cfPld9//316XaPiy36+rSTUL167yNPGy
LdN937b3JRHrtwr9W4H+31he3V6+lkmzLWsvT6UdrX2ziB0V74p1H778WHxIHXeohWjA3S3xu71R
vsnFSRPu9tcGdxqlJa05ThFDHUkZHaf8/OOH3W0Dom+E+N4GAol6KXpxWh1VNFWIFjYdNqH++PH6
N0L/q42Jho3Z9+tLPSJT602cPDbsBcYL694uqEbi+aamfs0SuQubdtto3vz4gfd9oZvXv/tCRiEz
y5sHzq2W6+VQ+twfmPNldfrxA2686K5vBKD8/gGq2hc0ecpPS+Pkcik2mpODaRwpn/OmrMkL7Bvf
HEY39ptMUcvweEZ9OVvYrvyN7jvcD9/A4y4BIBF+L4CRnWu42/jJF8U8HhRRmaT4i2nouDTpWCxz
l/pNJs+HpcDNyZNhUH2aFIp0UGD8SIT7dAyB4XsJ2mLr5pYvoAJF+IHa4YvkS/XA97tv8SAqDIDU
RW0TP22bk7+jYRvSfPb1L1GiqyA2tKquhKOWnxpaVdcIGinP+6Rq/CFu+SA2DMnCzVhyfmonOf+G
l5Gla77LuMijgshg26U2hoz8NA3Jvp/Qmsz2KMwwyEjxg2hA1gKrra0hGgzM14dNiJWl4whQOv5Y
P/fENhmAp9PzwmtfyKxr3Zi/kV03+t/ouGt0OSWllq8ht1Bx8eOH3eNJKog9pN6SfnAmyfphk+KV
q6Ax8ls3TcmXuPVvnvtdqHEKebSsXGX7gLvTVrDEpmvVOPuANW7kvAPoKlCWHhrWerLl2ZCovTsv
Fpv51C4bro5jVTId+ZggnlA25GoxicymyZPpaS+GHp32HrfryVTTssbhWgVBYxzmMadrpzJDmv1d
Y7fyl14K/e7HtrhPV0HUWJpV4QVqnIwka3VqnZX0ecG2YXzfcNWsD6jqHo+SQfQoVWEaJY3KbMu2
i6Tb0S+6wLaF4jUirsoweuTVhkA5IvNyJGuK6pV9EPtgHshc90kfhA8/y0Eq2OhmcwsWmNqiOzGf
SBMpfRA8fEX7rd1qlTE3N2CDTa1J6tBW7ZEPCPDc6ISPegXta9yN/YXBvF9Otpb78ipO/wGgJdmo
w8kqMu3K6jepnHu1VsW4RcpPbscLuVnoMyAuM0PZVD2ddrrqtGy6BcVBTAYQW6ttFBOxMmtcYdiF
68is0toz+1BuvnHEOyKSDFC2FXWBugVMPOabsce6oFK+6pJ9FpfFlHfNaS3I1v/edor+4fti6R+I
5PfVPDf7l+9DbbsWuRz2BUJhq1pzWSYul1DZNxrKOjUtNZvSfqr3+VCVwnTnZt0LeRRsocPbGU3C
xylYBADdcpFI1SR51snEH2m1yEzJlj7gH/jGTneoVwQA5fO0ViMZdUbRbofTjvN5OvF839unRlO5
/VK4bvhiErZ0T9muev5ypZT0L4hUqv5dNYTzB0S5J1TwAAnUzNxMzbZnU07YYaHSpa7DVVwY5UFi
Uz3Z1SzHPUsmUh4a6udUNJLFyS6COKT6mpthqVhmZO7oQez62qzrMsYJL4Io1Foq8LbWMrOJWbJi
wqxNC6qKz1ExSASa99gKVdcFywqzqg8cMvNLh5IuLgWIQPMjLfo6SaTOeAu7sIPHqttTX9nNPYCQ
eyKECGKcq8aNk9WqbNqWnFwoZi36uBoM0aIkJRrSvvKmS8kuTPHJdLsjkWYJYh9d+hYAYEUmVN75
1IzEdenmWRKZfUQQ+3a2N6MXVp78yPFJbHNx3MWQHKPMzoMAJ3KN+npc98z5Ysr2XtapsKZ+IH7e
OM8dgYUHcUtgVCYrlNlZTaruQCZcH/NtIHFOxYOwBTu2QeFq2DMCe94Ulfh9X7CHiuD7RA/QjIXp
2doWe1bIbXrhtx5BaTGWuI7zGx7Auaz9ZKiFSJfknb4g89occ6pYFmfWAA41SixacrdnI67as9N9
cZg5288/Xv1GxrvMGvh8n/Ny33GyZEvCr2Hb2cxnNjWmz6ZFirhoygO3p7Oc+7rJl4yC87/R01Cf
MBuauO04C9x+6qEUWnaxZAPj4kJp7o/11kdClgVuj6euzdVe+6xwLXtWtZ18YdY2UvTA6yFR502D
6ZSNQ53jg+XEHWS5NmVcRGCB4/O8cE2yQ5vH9NV62UzF9NzneRvnmCxwe+iPJjP29XS2vljcW7og
1f7CrRJlnN+wGzx/tzlucDWPxUxWKAn9fmgM/7DprX/A8e8JCixIY7xOGqZUPp/GtsQpdZ6ko9Y+
UvQAtNTUjOS1mkHzyQdLoL7r9ZpHmjXAbGN2myRO/Ck6IyNJ+SxiRQ/RylXuVYnnk16gaUxuVnfR
iqEBWhs0m7x1sPpa6/LgVeNTIUgdp3YaoLVkXA2IIFidkeuxYu25qIrIzhYN0NoAnUpVBSyud99l
rdQWdl5ijcuvNMDqOlGZt1szn/iUL+mKZ5Jik09xKYoGWO1KQ/qBIn/q571Pl7K69vWOI7Ue4NTt
djJDufhT15QsFYx/SGZHIhcPcIpybulWJtNJjqg/urW6cn53kYuT2xFmdHqtoZr0p1roMhV11abe
Ehm5eoBTSeukqBINomuPXzg4HnmVy6KNO6KiAU5Xz0jPYOVsx0DmS/deCX5MpkS5OJ8hAVTJuOrO
m2LONtb1Nk2o4ZlZyPTpx5XHPQGYBFjFVU7ssHaQWXPXXura4aNr6u0Ut3oAVm9zQ4uN+2zS9A9c
k9eO0ddxS4dIdVvdbVsyZVWZvITw+GEjMrJ9RwKc6qrqJO7llNVLqY6+5O+GJh8iDRrgtG9cYrXy
PkuqqTq0tXwuyYjinJ0EOIVj4cW4VSWnvl0/Vxt+T3j3LE7hAUpVtRQJ5Ostg2XdlO7ElSLdHC3i
Qi8JcDoX3JcNs1MGLAX0O5sgDqSu2nFcpUECoPqxJajNB591g92Pwyo/lpXJ49SOA5DmqhrlXFmf
8c1uh64zIHrz0MnrPRDFAUR1L1hlkm7K4LRfv1CuwC/aJDfvo8yKA4iSiUwWqMDgjmVeprRbfpeq
ijMpDjC6s0HXedn4zPKZplitH9pRvYqTO8AoW9i6VBTWTmr3jvntBWfuRdzSAUKHJc+LiRbTCeVJ
ckjq/Hm1o8g99g0V5PtyGmNj5J6Q5CSQ/qXb5AdltzYutOAAokkJdbodQCdt2b8eiuGcd2VcJP/a
6fxuF8DMstEVeuqnYZ+f2oU8Yzwug37tFH+3stn4JAYDezvRFc/VsGa9zeOOWVEAy6qd1tJ7ENp0
v+6zP9TytygPQQEkW11bszdgRFY2H+2qX6tdxMUpFODRj3OzbouYss3V+N2+TSSrPXXHOMEDRNI+
X/u60lPmEqASkL55qnP9e9zaASKbtnJcYpSceAXVbYLEFdM0MrGhAJPg2OPYIkjJZSXWlDuWHLWW
cxxwUABK5WY5MT4np1G8tcNRQSc4TicBIsuiHNlYblPmFZA5FupMikfxLm7xIGMucP6+bX3uTrg0
T5cWzvZHWk+RnhLkS+s9apIWFlctf0W9+VSxzUZpBQi3t2MgUNQ2NCrtTrajrzisvfo5du0Amnip
JKUrhtYroei5V0V9ObJVRGkFh5Su0rG5hXoWHIXvIt1R/WsryqgCC/h6t7Wyas+WRgPyV7pN9QGx
XAxHAhVQFRVagC14+wFm6VgO5x1TVjBzlSzze2jg/xrjilgH8JwpRVZQ0Iv3BT+OvqlSqoiMqiOw
DuBpy1lCT3cFwdf1lR/Q5TqPcQjFQIC8lY/rTiImS+oy1dAXLRAOT0pKEqnxAKG+sMC59POUIdO+
Zkl7qG0ZVaRgHeKTJ/1W0M5lhHByWDpsD5jVX6LMGZKrNujKO9VNDggG4kPh1stK8rdxSwf4XO2U
N4okNttwu6TtIMdz39VxzAgcEqsGvvR6BvpOBscw+7Hfh5eSurhjf6wCgHpDXFPixWYD0F/a1Hmb
PEtmtL2J00wAzyWhEBWZB4vO22cHFdzq1Me4pQN4TpB4SiMGlzWieLMac4G6Ls4PQ27TnKtG1C2z
2T6P5WleCnJM2v5TnNwBOKud5c6ujct0aQ4N21526qGy80ar/3rkgkMW05JAP3g20mZlN3OfWinq
F6Mwa7rUxG+HOPkDkPKmX/tm4DZrK/pHW7L3iWneRS0dMphWYDy2QuYW8D+7p7OzOMUzizvuwiGB
qSAlrywlIDjD77s56VOWmN/iJA8q3HIdTWNR6TJOKracduo3lvaqLZu4JC0DnLKyKJRXLbjkmryu
OvKuGuP24nAX73a2aCs+woYZls43/XpC1S85FVHHUFgGGG3VlnfjvNmM5h3JEkWm17hYqiimL9wg
uC04kTPicwWemKN9Szc7ZpRFEsawDGDarXkyra60WT8blKJZnseliOsO45ALNVnmPdOgcgiPz+aN
PGv5GomhAJ56KVpfj4XNZF70qdy3Z9pWcedmkOdva1yDl6CVNDbDw/yK4vG5RVOc3CF7yVZwOiGW
ZMycUO8rbF+3zRi1icMhcylfWdcUpraZAM2kGkjo6bh1Ki4ehoyeidZjUg96hHObcjxY0rz2iY4r
QUM6D0Kwz+o5GrOiol2dLtCoOHmUiEjFBPCsaw2stHoD3OitOygvxJu2QnukRQN4zjUXOXDtxmzX
lhywYy8hk8adnuOQyuOTXg18HcBdBs1QA7F2a1yZKj03UT0czIM6VzYdAcKiNZlk09uqcK+XZnob
lS1C2kKRbwtt22LMZK//6IcFpyVjDxH1box3RxEgArmBVox0sfbgM0W5yEMPTb8sz9kYd/6BQ6rR
1nivbJebTCWuGQ/zYrovXsslcrMbko1wRxBbdGIyW27u2BWiTsGy/Byn+qBUl3JdFZqRyXwryAEJ
4MNT2LWncasHZcDUAvvO0d5kjsliSvFOmqtmW/sicv2gClgrK+yygm6Gsh7Saup+XVscl6tDrlFL
hqVLpAe998o83Rxy56UdyqdxmglCzUxnupl2MVmd8/09GvLiKVxcNk2kYoJYQyG+c7KBWXWfj+4s
vaIs5fkgxsgHkCDz1a4ZejOD5qlbLqxVv5ZjG3emgEOi0Qgtc5X4zmTU1uoPCYcKT33TzXGqD4lG
E0rWbad8yMDjdSqA+pImWyJPUYZlgcvbLYEz+hZW5/PmU47NZdM/xGL6St2+I5aFNKOxWoHqq8iQ
zaIp8hROi2sArazW5lB0umiedmZb3vrOtRfU0URkU1mO/B1ccZPjK6a5s2+17MTTBs4lh6d10zOR
yraCZnyxjgot6c7q0f66jCTxB7SNfXM1lGUyHgQUluSIOfTaT9L41R9bDF2yg4BT6vXCj4mqMyLX
kl3kQ71sB4ygm/B7AuzY7Yxp7eSRyhXWXNpq2s/FqEsHt+3I7s8dIet+dHNH+z9WyVj+amIiqT86
zMcxUzvRc2ZX+L5HM+38VKOZq0MvCW4OYpOFf1rgodDPherhXhgad/KWKL2kMxH2wlTO7hkatNrO
S9fO7DhbVvDTLBcGLey2nNmhaE03QD2r9XZQtqIy7YbK4mdLn9f6oqV4YtkO2l4OnDbzxb4n3Uvb
z4gdGZrnPa1zm+9vW1wPMq4KCak1tivmeTbzkDWq8L9ZNe7QQ+3VFIfckFwz9tUE7Hw9ZBp6eSkn
9fNyL+Lu3OCQW4NAc5wpM2TbYPLuOKClztYRVZHFZciuwX2F94TWJhNFx9cTcb3fU5nwZjxGwZcG
cXnqxiVPymnI4Hzgy2LYJU9cHBkd0yAoG7/YedzkkJVIA31ncnJtD1TX5Euc7EFMnvm409kTk7Wj
3lUqh5HC0aYiJO4IHIc8xG5lXjSeDpng5QD9yCQlBdVxfhlyECnLN9jitCYrRXeds+ZtLqs4RIUM
xBnOCNeWgNzc55nT7WXOcVzbmgU65zNwpjD0NjO42b6meaKbVLd4iNRJULtaVFDRwHFyVpC6Ttdm
/CJq+y7KW1iwMa7h4vXcSzRkfvPmJVwdrJ4OdOrikmzIPixFhXxPhMsK27DnDHZWcK/DTx+iZL8Z
dvD9Afti+hajtYACAUaopV4u9amqqsgCIeR7Gbnk9V5ACoczGnsARpk4mGRBWZTsIdlrQXBVmlf9
ABdd2/ZS0JlPqRitiOPI45Dt5eq+ACLTAM7ee3lZ9hT9AXvaLa4VfDNn5HvNy7Ub985B3QetrPUi
Z7nPJJpkXPQlQT1PaOt1dRMD6qorDm4Zi9RPXReHppDyhS1e/Qr75CzZenpdAtv8eu98F8f8xCRI
HZzQvi7rxmRcyDm5aHSPDyhfFv7A2eE99+pwSPyC66Z5LlrVZ3uLqX1nmmoeDrnsiTkubkjewYWz
l0mi2/oIVVyjD4WGTd25TDgf4qyPg6+4SBiq13e2zyq7Jh+7eqGfbALgi0NGEEvhFrBAvobqdtnG
Uh2SrobxFl3ZmzZusxvSzwSiOzQxbhJwPuH8WVcVcDNsG7cJHeK+QRBTd+Qt3KclfQYD3KomXZd6
YWndsDkySYYkNOF20D6BB2yeACl69+/hbsCnKOFDDlo7dduk/d5nxvbusBb0yz7xWMGDuFGMO3au
kV0GlfO5Jc0lIS5uox4y0LokQcUC80myic3u0CQMDjKW/U2cUoLDgKlsbYGXuc9yb9XJl6RIO15F
VoQhUczVrB9Yj7sMiv6Xct6ftWPxwCyXG0jesVUMeWLFCueMwg595lZSXuLWqhRGYi5xSSykii2N
qNTc0C6jjRqKtFZqvCyl78s4IIWEMabXgYoedZnkfX0YtXraMLzF5YGQMmZNXxS5rvpMs3J57mzH
DnKq59c/9pgbz7hD8SFvTC/NNi8Y8nu7sxEKK+QKfWoRHoaTgNq5jyv2Qw6Z2kSuBC2GDHk6mbTk
U33j/EgPcbkYBbm4Syo3zroC3+TkrZ/QmwLncYEeBaCC4RKTQhZkhy4VP1YWWvm7x32keYMk1YMz
Jg2wAk9Y2vzNvCXmbV/yuNtMOKSRtVWPPSKuvYmS6rXpKM+miqtIpQcp0EB3AeVd38JhOHQlhlG9
TlhRRSomqJr9NvWb36oWGAIwwukAlw/HD3urhzly/SD7wUCaPDeTbbPdyo/QO3rRyfL9j0F1dzRD
IZuMzQhOq+GGIFz8HPI6HZ2frxc6xk3DQFrdrmor6CP0ZX6jdqNyaDg6ddEJ7qPcHYWEsoHUft0t
CJ8XJbSdMDEpTDmJyyEopJRpscuNO+i/4WXC27GvgI9wqPu+nqO2uCiklKl5yQ1Utm2GS7EdVYHQ
qwHu872Js2yA1k1U0EdYxuRY4GIdLmuE0UtCDPcPSP+1NfSv8RiFxDIYGEpWITy4jvC8+2XEuPdP
q2Ye7Rk2Yp6cuWbCHUfersPzZINdwXMj67H7QDBlZy/IfiFZsvFU77mHCQVb0jS/dD1fyaEbx606
7EWZ7x+HfKv8uTeQcw+e1+sn2jH2bDb1dLlV5XymuV9gCZiBUaaoq9j+rsRwv+V1czOn4l1fKeOO
sGFjO7xrl0OJgPn5sjZlsh/hr131gpJ8mKNKPRQS4oDXOJKbC8mnIsf1y1k3+jmpSBGXYJEOAs2Q
NHyA7miTkRVdCzK+1rh4FecuQYyBvebWJWJpMroDz7Yl7IIM7qFBGjep7Q5XCSlx3iddsbu1yUYD
szourNvb5ag3YD0cF6jhiwuhRVtG9TCQCmIOHjUXbOZNlphEnFiztOfdtMWvUXoKSXLllnvYI9Im
mwdWHpN8fz/V5CE93eTpu/QUlAYYFZVvrG8y0frqLbCq2S+qLNartcbJA/2j+x5x8/p3NwZQrmVB
zNic3EobcSyn0Y5VOltotl9UC9xoe2BTfZ/Jg/AD9ITCz6ItTjC9vmnOnq8Y2GFJe6q6XZEDMLrj
ukowgf32NypK6J3ktgWl9SQBopt4D4EoMoGpoG5IYGgHNAL6JsNwgj7R5TxR/ECAvs8SAZglBS7n
Dndwj00xyulCt46fB6Xh/FwUc4ui2AVIBbjmsLaoKpnAqAsYJAh33Yvf9SjjrrbCENzbunebHqtq
s3UmJZ/OwLlWaV7iuM0KCol0cwWtSOpxmVVMsbOZt+6odBW1j/v6Wwq3gCAMblvZ5kc8V5copykb
RJzOQw7dRlHrhgmW3nd2yvV47ioStT+EobS3Fb7BILTK6SY/NhV5JnnybBRxXTwUcuiAVghKElV+
NPUyXtbOTVnC6duosBlS6HIuy3mjCTg7LtzJGMvSTbfsHLd6gFKkG5tzlFSZrJx5BqzX92OxxQ2H
RSGHrhCySGbiq6zdSHv2euqforGNo6KicJhYsq1wsNfZKqvqejyaUj1PpHWnKL2ENLq1RqN3dNDH
qWPVeiZk+dXYpolr+6GQSlcOehpb1utjP48vm3bIajvEJfGQSreV61p0BRRS7eSrtPc9OuwtfyDy
3rPpCZl0M7Dzd7jhByBy85ACa+xgBEwUjtN5gNAdBoa5eTIV3FrqtkNfmGFMc9vrOEIaCkdj6W6D
OxcN13DRathJqtrcPhvWpoq7B4nC4Vhe9HkvR6qP3bLDydhrYAE8oJmv3ew7ypuQS8fEDlcx+qLM
8JbQ+RmqOg4XjAqY5fkOpg0NWcX1TlM5zh0/CeiuLYdxavgMEzKN2M6j12g87QYX5KqTnMxZrmgl
ozrwKGTh7bxcxsnP7tT3oj3ALFyYMcHyuDkKKCTitXqiO1XcnSq52jPPJ5hYnDRxx8copPXQhdC9
bSZ3oktXAodjegcXNtcHrHYPWEJWj19GGMIjN3faJN7TBjX2IJvI6BeSenjjRUJH0PrewQCIZdq+
IFvG3U5CIUFxTUYMo1Smmx2wnYqLiiLlT6VrXH+Mg3pQW/VVNQmFS3lcbSkg52y17w8l/MAJjdtO
hhRFOzV+n3PjT34ozalTbDkazaLa+ygchwZVOKeGdv6Eb8ahLXyEy/dMRlHmYZzn7TrFyJm5fILF
Zw/juFvHxnRoSRz9EfFgn8RKDwMOfO9PpMbmQBtcp9Bk+hhl1ZCfODQKfkKI5tNpJmWXqiSBO3kr
Q3GlSjhTsgD6MGIJnU4DkKXSobHFy1bS6bc42YO9EFuMoViM0ynRcNTEmr04VRuPVAy5bdPKLniA
s/XpBGNHyau+W5uPAu0yrrINKXjJbroxb6k/FXB75qiXsjwAeOMO71HIsNnhGkRezVBYSUM+uo6+
7UoSd70ahQSbsoOW8mCYP1XIonQ1JD/lOdDofmzSe7aJIcemxc1ImoGqs8hbPr8qfVd1502Q1p6Z
NZAFf/yY+8J8YNx8pjnDNXwJ+P2l5DgTXhz61cfxbRAL9rqmzOU0CVi9KPrqqIBsc9DD9jlO9CAM
NzUkb+Az2pNZzXaourE+ui6Pi5Ih30YbhqaOc3uaGz+fu1KRFAYY73FhMqQkbh0VYreLPU3l3p6x
a37dcc3jTBoSEveyY/sAvZ6TUaU8dO1aH4CSGkefRyEjsZebnKTKzSnpEnuod9On1Gxxk5vg94xu
x5qcsdbiWphTNY3lYedde1AwuT4ucYdkRI83aDnbQp3rut/f7cisv9Wof2iU/D1QCumIOV0W7IGs
fOIWw32Um+xk4LeF0ihvpwFQ4RduoF29aX1mCbTO5+TT0Pbv4pYOUNpggnP4/Qx5hjlfeZvOO9Bk
p3J1v8ctH+AUtwMddmT1mZuuB5pjvYryucBtr+KwGjLAjFMeSj6jz9rhtNbkskWRaTskf8EgrnHa
CCzdMShWbxgLfRwzFoXML/h9hiov5ajP+83oo2bB7MBKtcS5S8j8qlFbTvs2sCNM4XraW/MKibhp
giikfcEuBzY13f/l7MuWHMexLH+lLd9ZDYIkALZ19QNJySX5Hu7hsbzQYgV3ggBIAPz6OaqqmZ6K
qewcS8t4yAh3l1MUCNx77lnGtGKgP3RTdJdO7fOfWir/D+ULNkKNTqa0omwd45tUDdBdN25c3/+5
1/+lTppUvHTDOvNjOsceFuqpSS9Xqd4f+Qley9x/0enSXx7SNupVKlzNjqOKzMnW2zY+GE6kPECn
yuuzHHfX3Nu9/sPm+nc2nV8tulhIpxGBVMOB5B+79JVtf65e/ZUYlQ3J5o3B6ybtOwHWUpv9SaDh
V1rUDOZwXrecH9nkyXZU+Ubujc77PzLh/h1aH/nVnQuEfGrx3PIjhCmyWJq5tbeji2bwcY1Wy42j
WwfxNNKZ6JM31E4lTE8jUs6Rn//IijT+e5DXv1oLv+yqPNB62rplQOvp3eTLeGgHqg59j81wODa1
74dimUekCBVTsqDk8l3QEz/Pg2LNeATe0fVjMez9Fs5NHaL6S5I4sCEnAsp7XyRd2J0rUHuq5a5n
sVD3m6ldzM4+SvnSF3ofZNQWJMnbRBbacoX6dGZ4ooosX2b5RelmXOMi7Xk7npO9h5N1FYCzcFmF
ZXO67EPS+Rc4+7mtLbIeyUtwMA+tN1MR52vE0iIPcOzvT7HqGRIJRkDJdiwg9xhWXKDh8/Re0RHN
SMc78XNUI/5Zr0u6VQxygKRYcYf6ctscbW/2sHqEYfUkMdOXGVg6XwuvYxK7IhNMNp+mNu3zb6Nc
kb8Efe0+67GACVsXPl7ZjSe1j8EXE7y8TOlca+K+4tCz1ocdkzR6iGjtTVkLbAB5uTEXsrGi256R
21hsLD+22bqPkL0tczghvGEqOVMbu+/I2oqKtIlLyoazBcWxGEUlRvgSF36RbJlAq+3mRlY2R8/O
SwBXXs64smXSvBCUcch5tvamTjmqeWzxbFwv+LTmpi20QMFd5HE0jNU6TvTzYkdWubB7/m1t95Ac
lZ6z/mHXVLC3ZqGcPyS2TpK7vW7EKqthh3QoPeZujWFUsTO+DvcQzgh8XqptFS5Okj2X65HAbBpF
8kjmvT8Flnj3dRFjO8ty3oDRnzmEYflr7Lk3oRymFAFvUkRXd85hHSYXQVy0g0sHYyO+bush4LOc
5zPNgG/SM+sn0RQ96/Mj65upnJl3owYiEiKzXQv+zdyS1fQHp3F0PLBZrt2r91ROAsthpuuxSzLj
y1k2KYV5bxOGCuBQIz4Jm0zzbe53oGdNRlavC6csZixFLjJOUdhamyRJmWdJ0j3HvdDsCN+b3t9O
1MUYNhALy7sd03+7SahgSTDMggLL4H1HhvUrHSJImfTGU/XCszEWVVObrPuKllQMeGjGdN4q02Wz
eehXItkrWHPLeOwCh3orn8mcXfYsov1d3Lh+/95Ow7xCyKSjOX1Y8NA2h0k1gZ7VGHfLhyYaBaE4
dXrJsoKPaa4eiLV9/DXt6lqEopb5KG+c27bsQnSbzh87x0JWws6fwCRAOsQYw3E7Y8O32jrZy6Jf
evE1S9iiPkD0vzclhn4oKSBymMM96MVG4IfnKP02d3rbzyNVIbz2O4njUjV4kr51KZb5SfZ0f7A5
kUdCF9E9Cr1ydiCiVc27pW/8/uSgbqARCAKwcxDV1SCanY2z0/Szx0Ctue3YkoSbee6G+maheaxv
1wWp5WWXJin9JBgCsr/Hrq8foOyPLpju7d+g6xiLzmWykvBtiirf7sJdEO2x7Sd4OiUfh7xN80oN
EHI+89AM00Ms6zY+u7ldwyFams6f8qAJu+HM9+QDYXVfv2uWXKpSBRvBqrIjuYGCZGTIV9x2k+l7
Q3ZLzolianiPPJV6flyznDdH0vQzr6zvNuydLhO6OYLWHuv7Jd/YtwFWDVNZA/Zzj40nGltJM3t3
YNlstawIhojbbd/Bd/pYy1VBWxLxTb42wuTpeVRKscLWkWZfmybvVCkn09uuEFNcE0RCpYk/m2E0
trKOkqiyZqJxMQ27U58Sm+MKqozIGC6THlfRRtLoovORmQ7T1SmpgM/g3j8sDnrBQ6a0+0xJcAyp
dxIJniVSLtg9qlj5o8YjzMtuaOhYstFl84ewIDYTvlPjCCe6Iun3vT07CxHwa0BsoK6LZrHcY7/f
lZvnorOonlyBQcRmvrl1S7I3pItoHAg9TITydwNe5fpBKrvqQ5YzDKAPk6NjVkDaOmU3Qx7n/WHb
ZDKEQsZW7LfOGwno1yPwKz+ROqB0h8Cwac4G4XdRseu2jV5Y1mtaNSlbo8qQLc4rHva9e9NkT7rT
ZneX36zjHNXV4mgd7hJkqj2R2HTtC+B3GvqiHQabH2HmL+0l79FYPgTAWuKY9i3OO1vX2QKCfNr4
u1GSri/nXce2TJXmEeQk2tStg6hxN/E7S/oRGpkptfap9YTT04xJfvcww4CwXYotpMg1gt17sTid
x+c4yY19zMwSTV9o68Vwx4bEYI1NzTg035NB7FgJI5z0zGGWot2OeGe+O2Rjn5r3rN+a+mJk2yVn
GA2z4X7VFFFoB2xHA6uQYJXUP3Y4WMNq3jRddjJzKyVI4ZAfYY0I2Ftdms4GdVLdmIBsTUG+Jgej
EEZZbDZM9AW/U7xtcWP95wFe/pDc57SZ03KBK6YsI+xPdelr5V86ymxyErmCFi6bJnCIx02LqAxq
tUj607Pz0PVsPC4x5xHNEy43yx69C7I9RRNNMdBr6z5aX8dxn6cLGNXNjqpo2v03nBpm6mFdS0j8
fB2gJaRMmoXv9zvJ09FgJ95DfRYdPnr4/zLkwN05bMjLI4I9jD4T2+T25C3Ls+vJ7RtYNUjcRmMK
m+MpJ7ARlPsqy6V1ITwnuR/yAvlygh15OmJ/K/rEdfqR2FgsX3ZtVNoVg918dg5pQvxDitXffOyM
R7oO3mQy1489UEr3TvS4iZeddtpXU7Jm9oTzP1ISN5eO28HtnDuJ4snOOz5MLbfj5vpofM/jYMen
Dfdsuywd2LqP3dY2bZl2zWw+esVp9mmkPIixgHEbmRTuVDLI7xOsbMkTwgTS/Mucsrz/vAxLT9H2
wqcyKceOdvw0cmsC6reGCDYXS7QGHIWDx/GBag9OvizKNl4ZeGfMAdRJHn2F2X9IS4JDvTvv69K/
8hXr+9ATN7Cy9TsGVyOf0g8ZBV2lTIKouxIQQcoRVDnz9YYOPGNbkXgyLg+qWRoowWO4qqK874b5
PhmVi4aCQaH5pZsX649Z3KbbYzwRDVtkjL/z11RMrjluA0KAnhbaJB+FQYBNZdIaCI1oI8sewqRq
lPW6c/QRY8Fkejf03Oy3cTctMzbMFM8G9ATgD4qbHt62+r4eh1z5UqSpfAogJEWlZ+24vTO7W6BT
hxyZuhLuknVf8jxu1WNvAP0VzSiH5ZAEyJ2HIySs8UHUyTRVmtQUn0TbDPF9uqprwC4z1+JHgPHa
yDIXW0arcV1IvBb97sOHTgwwsyr2EZK9VwXxa/ImDZvv9LSi4iob2UVl3MGsL5TY3beCO5bYD3SF
q8NJMqdw3nNPUKYn0FUrW4Qkjey5xSWQ53WeLC9pxpaqD8063fQej/qnjGi3HSnvhxjhVRpOdHHa
JqJKBrC2C5PE+zHHYeRsobO6Mw8rGG35VI5s5MNdb+rwKMI1l3bXe3JrhOjJQSCcx+MYRclR6T3F
tu+GLZLnnk2ZfV2HOt7eTXqNS8w5Fvo5DLXbyto16QnlGsJMe8iPZowrC+275tRYBd+QFHJ3HLZJ
ue82V8WMnCdWWU3oSaIe+OBGntxKOFyNBcu7xZRNTJmEla6ixTynHbsIJ8P3FKKs7p7i0Rlv9s7s
+f0SUf1EHJx30QIl9k4yQXfUTnGqn7ZIgU1tPS8Z1P33mMlAQ49M2QQm8dDg3gct6PvZRfLQ0471
xTh6e7v1Q/4oHYINqh7LuMz86kra1O0pTdP8bmUyXGTsh89Bbt1Lngy6bAl7HjI9vs+6fMoLSZQB
G2gd+n4pPGlzZwqJajccA0L9woltVL6x2KuL7YLIKyxnVo77uvvjpLvsEsAqTd+7SPAXObgEbvno
Wnl0qke+uaGosXIF3AtCQ763tg72fZYxFoqtHb0AwzbeXKjaq03DeQh+h5uN0HFQCDxeFkPRx7TJ
3FWSbXF02eIUUmTIzh256Cau8wcTeWOPG+wXyNvOBsrKPKSbvV1TlcnPqFzH5ZBZGtGTalWb3nV+
G5DBK6dtKFystHhL1kGRxyVZE3WA4U2Y4BRhWHOeoy0fPkUNIp67Mgtt1lbEdI0t1qxFKZrblbel
HlCjuKJOoiQZipCFtf3mRZYsd5uft/0r8rYcyqHGigyre8Czlamig9KqO8DcqKY3Wgxt9+xjQDKH
eUqT8Wg59p0KHY3k5+XKijwsfKTJI9RIXXYLWnMSV3Hus/wcQ2/mf7bgyI+Pq7FCkTLkcmsuZjEJ
YQX8UgRGnHtHh/CM1phTdMFg0u63gE4M9oVm4i6+VyMeyZcezar71Gd9fk5n8AwSMzr+KTZJH30e
MSRFm+znDNmUmA00JVYHiqWiXjfs7kavvtpGqcUHBqsF+yYc9vaPxiw57aqMLxHOq3rKou2Fub0D
7BFRypPC2lqPZV4nA30wu/DhZwoXhuG7biEDPIgOAY/vwtD4HD4Q2ayfEL2d9f4wbTDdvcnbiM5P
DE8ZdkSS6EVge2o8B4bbTEBZTl1CGndK+qYnY5XuGiVAMTDGJNz5Z/QfqPi6pQybutYiSNex7rmz
Wkt3k/ey12+DiebtOHeRzc/G5GuGT2zPna4WOvjtc59nEEWyps/NZ+v6BViRJGNU5v0a37aLrFm5
YJht70LXpRIfCW+h0TQYfpRabQuK0oXBLedt3dNcwEBhqe9mSYH/1F68WxIaLKqDbN/VYxiGodBI
US2gppNrgug00c3H4EQWSong2fW8JwYNWpOvvDDWzZEq7Gqdeeax483PDYkz4rD3hDQVc9dztZAG
0R+nnY3Z14D8wrYrkjnK6wtSslOWlmbYuwj1aCDRjd+xgm9w4sf8YrHZd1/yvW0qnPFp/ThTow9t
tOwriClRHZ1R3ya2JIB3TREJu9QlXK+S98lmQQvcXCPVOW+uJwbulo1hujvPbYkTSY1vGSYr5Ng1
zWQrFWWtO2we+hI0fREgvp03cfsgOkfQMLehfwA9fz0PdcsmPJH1epkJgI77nEpLz2tth88CxYp7
mHpnLnbh09BUIgRfZhk2DkAxsv4MN5KureSIvbPtdH9vLUEBt8Mexp0HLppS7QFxMRDlkFPLdTLc
LzYxw72uV3O7KjV3X6j2oj/MotevaDqTwxglkPLgepg4h50ja23wqXvL4BHzQ1NGEBcPV5QWixh1
RjE4Ph4ThIGv5YLyfi4F5s0bUv+EB+iOfdOUy6J9OazoGFHYqNyXECIFWcQNFu8SejqUCvwlMKdh
+0Lv53yygFdstOfjhbstaz56ty373Z760L2H+8pM70bWrq0pbbKp9nYWYDfB2c77CnnzgBjrLX2k
SGestpn7Dr4SNUKNJ5zz/DluEjSvtUFrVDCk+l32ro48WJ/LsFc9JsGZLGoLbde3ekJiypn2KJ2L
Gt4d4sdsAULgzELNj9RBT0Db2S22t/tI5LN9wcyI6jsHNf7wqB2SPB/SFWZDpRBauccRI72v6T5F
MAyTmW0+NLOE5Ku3Sg1gs43p60hz2xbItW0K1yPpAx0zUgGx923qQ9OiRwQiZ469WUNcYI/wdVvs
QO6yquesaYbb4DjazAIqqfgzCuwpKWc0ottjUHJ3z0QtEf/o6mVaH9etzduLaHI5todxrfv2vMnG
xw32W5r97B2qyc99kA4F9p4reD3387K/B846gu+zoSEffeFxluuT74zDk02XN5o0yRGTivgWFgE4
SEQGo+5icmzl7/E8uOGQN7aBf42IJ3/nxDr1n9yIBrbQGhjbfRxRNv1QXZ73VT/Xmr5GdB+3h0DQ
lTzUM3LKngUAKPq3tnt9UCZJpp/ZZHJ+8rEcSJmmsHu+w0EmcVhLn1FX1Yx7oUokPYG8Wu4xCFcv
G7x5yIXBZ4jcYmHx/rKyJFUIniN+us8V4KiCqcTBrVs1+gfJkrZ5oHs9gcNWk346wTY9ok9Q7XE2
l8gg2h2mD1NQRySZOn0EKUeNJcDjbP06udFEiOfbrThHA7rGj2QYF5TuDPVdFetcdZBCos4cH1bA
JH0Jdr81awFLmpjeEkYz1NCZjaZTiyn/9tXRkBu8K1bbGydb4SqdKdUfhiQRS0WRh2L7YtFjaI4o
eof8tk5hogXq33ANp0JW11x1TZv7S21BCy+hUpB5VsEHgBi4etcjpqkYxM3ywjaf7NiarUpP2Cdn
zIoXHGEF4Ka4LyBX3LtqGad1OKZ+jZcfvM36IUKJFKc2QWIpvFx+qn4coCbqMZ+xptxGHIdpGQ06
v2FU0eDPfSwS8QbH4tHeXdecV3jjbdqlZRf7ZH7MeDv4DxHeTR4VTWyTeT1evZRRd29i39KH9doo
3NbR3HucMWBrwt4o1FI+hjE2qMn0mjCyoSdDa85LQMoZinJixnz61gZs2aAhBT6SH9pu0XJcYa2K
uhCPOWBzZKXM+mLyeRWPWdNtEiei6PbvfQPQ9XPXubk/pjKdIoe7q5IJScBMt88pqhocDTTnaXZU
2NqXH41KMycKC4Py8OB4uorXGDBEi/ARwJz2aw4z0f5NRescPc0SuPbzdq3HoWgPYqAl3xa46kK0
pfRwbkbA+1gkqUqOmqO+Ywek+K3LLfRnMnPlDqh8RkHfat7yCgQvK26dAmB+hyJCsLt+TVPzMg1d
ry9cJm4+RyuSuj9j6lKTEgMjBknJPEZrMXDqoruZwIHmOVrN2n6MdqTilTkKgOkQ1lHoh9ZYyCzG
jPDtdR/AvioFMcCy22SYYHCiZWS/CWZU/Zo405R0grt+t+2XaEd4tEa/NDfD2SmZhAJlRgewgnu7
nsI85clJA0x0N0PPdvIG8CTLLm2PgUepyIjx8wFqVqLF9Qzf0cJfgYPouGhK1zJhYxcVeObumTIh
xUglg33CkcQg9i7HNooBa7MJSHYoBgR8iSIsXmWVbniWnqxf8/2kUh+RCYZi1K05oAuJpK55zePu
Lou1MW+Zgaf3Dy7TdbwjgAD5cciaNX9xDgh0NUjRSWjjQId6aqdpYLe1HKb+xQncmNtARW8uZEWg
y/2Ga6XI0w579tStfJQX32FS9x71bFtvJVlZaJeqm8UIdC6FQ1hLyhUPs4pKeEOwoCqMO7jIjz2o
o1cDXf4JlpfExGWew8ZwPIxAvM165qPTuLGWd0o/eY2bhtEQVgIitSnPw0uC2w5pT541/f4eIHHt
jxue5GO+7/wOvQKLbmlU55hsMQLvNHqdVgh6QzrG1E3f8SW724cZut+Yhtl+cu2aw9SgX2EtcbSI
Gg5NETuWcYxyKCg/ZDFiKxn6N/N53FJBn2aI/g09Xo1GY7RuPkO0uNB7vnVlPjrXV2HU1zwza9hD
put0OqfQkbrTMqk1qeQW1HRHDVxSgAQRjJXmoPl6bIFVxkVk4jg6YhRj22oQMkd1rRajeMGSsU2+
eI4M89t6l51/B0OA1AJibGq9f0+mLJFfVT+T4UwSCO3OBODWcg/NuravAwyRm/fzlKX+Lk4jE36G
JevUXQgyMsAxPBUlKhiA44DRVkDIrTGgmi02vV/JaFxpA2IrzxqX0FXrTmlfgpnNMBpM0ysTcBPH
HCTMh2FDRvZ74npp7rXd4+nCEbqGugDvsAbTPrcBueSGp91XoBlRUnWZiJSB5SYKsdJMWO3jAdh7
D3AAG+m1m3HXeiSP9JaUIYpijYdFLBpkfZVd72Cu0JXLgugsfzR8GyKI3Vvefl+v5+N3vkK8DyVz
Js/LnKMUIdjvhpdEa2rx7MlsXGyhhIGmF500Yop4Q1pSJTSLQO5I5FI/0IZbd8Q2Cie+bZja7Yft
vPJ3887H7AOKAZb6olu69RIC3/0HwUe1PeLUlsnJoFwpRpihLAWiaOQVE1R+w5mLOc0TiuOcX0wD
nvsD8OARcmuY7+/o4JcezXmG2MQ0s18gm1xEAVkLdQfPVA9wQi/NO0yDY1ltG+LJ33Xg1eFcRMID
nAPzTdT5G1fQjapyIoDtt5up1stsixZqs7SYBcalSYkRn15/oF+WwKjQlxL7BU3Z3kYFsxgYd0WG
XdYCKhlmaA0KWKQrJ48e4kRE00w+Zc0n6HvDqovVIUJluRnRcrRd6Ra4V7sL+mGfxZVOGkys/4Cw
dSX2/osZ+q9WJBLAo28jzY8zohOHCvn2/h5MpaXE8QxQHQiz+ANZ8+8wN+JfiGd6McGkScKOUB8v
/MWGuV4rJVHWQKqKyr8k0JoPKEJ8mP5Akvk71I1fzX86kFGwedDsyAQCACw8Lg4LEJQ/eEO/9+q/
UF0U4sMMb/IM89Dxa6/jNydU/Qfc1N977V9oLqjKllHJOjsGZAwUjQ7ndh2SP/niv/AmbBzbaV5Z
dgSycsB4oC3qGP30nyIA/eqDUvuttVnesqMkkcEWvtXo87DZ/6lX/9UIhfYqwcwb9wWdAYxAbY5I
u31++Z9f/HdW6K8+KEzHo1O+w3JpeE6/m6kdXUlYoAgxEXRUhVpB/TyBfp+pP5UFBh3gP7MxGyEd
h0FEdkT2YvYhXbR56GKgAf/zG/rbs/Uvnu5fHVF4FxK2BZkeR5E3wFXyKThAhvjvR4gte0tRaOFf
pjSe2E2rutdub19jrLTsVJt2bVCayuaAKLjvfkuQE1tYjhP471f379/8f8gf89Pfr8P813/i799m
FXQrG/vLX//rdR7x5z+vP/N/vueff+K/bn7MD1/GH+bXb/qnn8Hr/uP3Vl/sl3/6ywFlmA3P6w8d
3v0w62D/9vq4wut3/v9+8d9+/O1VXoP68dffvnwf26lCjavbb/a3f3zp/P2vv6VYDthg//3//g3/
+PL1Lfz1t/svzRf9xTRWf/kXP/fji7F//U2Qv+SE5oRgpAZdBL9mgbgf169w+heWxTEmdejuc3Sl
+F0TYhabv/5G6V8IxT8IkdAELcZVmmPm9fqlOPsLi7Msx1yfUpag2P3tf1/fP31G//2Z/du0jk9z
O1mDnybZdQ/670WF14Y2OOUwBU0Eg2nhr2Jc5JEID1TaH4IFW/7Eruiy3670j71Jf8oe1lylHXme
VD7fdl0IuS2Yc0sS3+YRj1pEGnWi6CeTzR9HzHTzh20l1++YDP2WLCwmVbsnZ+5TtGmodaBzH7jU
DTwru0E9Z5hbf4jSrJUvJGB6+AyDiMEABIMsvoRHldsKPbEaZfPgtEbXq3L0YDDG7QsGHleLYQsd
YXBBR8zbAzTjvJyzST5NVsY/YY6bAiyG3XK59Gt+Xvolekf7JqIPa79vYwU6SgoYvI2X/vFaTt1B
uQrWVDYQgzeg3QU4HGgcOpu3+qGGPTS0lqIlPcaZ9CNaoBDfuIj4tVg4vZ7wNZoRjxkLhkJep91d
uiWxKSdhmrGkvZe6mjeTwlhKdg0GeZjkHDVWBKmwO/G9dFvXdo9AzAlsATx9zxaT3EUkCfK4o9Qe
ThF2mv6ivVoxULvOxwrGU6IQlQp5PIhxIn2mNu4Duqt0LWDA11S2ExJkIEkfOVTXd7EWDUB+qT4h
cPFbhlK0K+A8Ma8oQa+yQoxcbIFjRRR5OrQf8Go4Azapn2oUfvM5GxTKsB2UCwguiEzf9ZBcy/tJ
1q4u4cqAmT74Fok5T2GP/NHNbAbgzki236eW6+gieaxYSdyeRidUpt0HLXa33iCFuN7ua+1DXmZt
a2glcOI/Td7HrsTQxkx3gljQ+TAJsVMxbyo+ZRYj79KEFoMCkvaNukWAN9zvYE+1ImR7ctOJemFt
FScznQ9yp/h/C//zgOFe09bH0PcbeoIwm3DAcIXGhwZKSlqkaHVeDfynh1Pnk/SrQr3/fmxmdNZS
6++zqWN/warDLIGMdYD2QVvrqyyewWjQZD3LwVgwKne+65JE8HIAAF2zS9eR5KvK49WfmhjT+0Pj
pdkqzCbwiQX4Ul2AVqmtaCFCvsN21Tzrlj/xqWfvjYGDZGnrJTpLKP4x03OcFAbDmg9i6uJ30dqY
z3se2G2e9adtpmh/MLQT9KXWgF4hLmstsmq05KyICWDAciUqvLRTsn+HPme/367TUKC7cxM/6lVy
zN/mHoU1nXa1nXYix/u8yzXIA+kM02PSbeMnYLvLY95xslRAwNDF1lCazyVU8enrEoCXFISOcH4X
kYCgq++n7C61sMRCvYgRECCeSMa3K6pzXxggp/daxWCFuWYOA2ibY/sZnATqD2iUsNpjGQFYUGi7
q3lpAFEJUr9FO2hUOwc5cvTz9B0NNRAP3bRHWaf+Q77hsVtMJ/hNDDDtUxgknht15ZlIBCcBaBzn
24kM26tBukFTDGHAXjAAVmvTNHnSmKvoAjmT3Wnd5vEATBQDOxiB0/G0wOXufTz25tYEJz9nPW3y
w25havDc+xbKNZ40W30D3qc7rlQ2X72KllB00MdsBWhlK5bHsLy2aP/PHuB8C5bFBBpPwxycFmrO
hu8qa/QlQfOclBjE7G9rLKdvyzZvOYb/iZc3KFqFqsaey5IPbjukm3QPIGZGsEelSVdsch7ci4Jp
yd84hj6tQA2DU6HOxyW+MFqrywZ213rjA8b7qMCI6qo+SVlf7jXWaonAE/MBHq78cdroXOa8jT6D
Wcan96IzEakcnHAx7e5zUgG7g6MaxzEovo1RSADJ7MkNkB8sz+YDeify1a4D6AF07v4Xd2e2GzmS
ZulXmRdggovRSN6S9E37rpBuCIUUohn3fXv6/lxVDVQWMNNooOdi5qaQhchISS532m/nfOf8O6Hz
bh+Mqo1V70uDR3jpxLWl+ZKUjrVHKXqXz2jgBDz2zyBSy4WweqqX0REsomu23STa5KFcDfMpxXiY
QmnP3rSrgCXmXSGy7N4cEw9xxLQnmAMEIeNSwJ58yIlwyDGlIzi/Fk6yRX7KIweZ0il3jY1AQh9c
N94lOk8R93jMxVO6WAPPC02/Hc3wvBNBZ7hKz2kwPwfr1m48r9h0Hva88pr4tZD3xYK2EhVrVbYR
McymieU68Y3YrmoeNB33HACbhxarGoTFSBlMECft22wGDUotdxVPswARTS+X+aDNI2/mzTiNlZWe
lqVudDQxH/RH26BAfz+0bnBECdRfcgna12rs6ntjGjQ8TKu3z5zNgF1Yey4A7ZKNfh3zJYYymsZs
O1mVyPNj7xbBGNJTck64ys0WIVYHL0JljyGCRZnd9fm2MiB0jvNBKzwHnV9VzdNa+/11bTYzCYec
RWroszxaA1Y+BOHkpeXNImv94PhqepnXOrjAiQgcYHNje8hKkwRH6qMsXefBtj5Nm+lTdpTlHEdY
nm1zXOTo//FmsR5LJ7VugCRciumMuS5C2Ny5xZJIN9apTp4fWnpRya1Ys2U9ijFrgrvVl9MUGniO
14bTBW/SXd37zKYPxMn0wpWjfBjLQEPEbIOKk8rSFDuZaZykk3HMdGGG/rj8zpoCUabhmWmbfe68
o3T5RZTam/866NH57hvuRUos9UdubNS61CzYPZkLiV6eMUgv9Lw+riIbkVBGpMSVwsFoWmz9YLSV
d2G1nmkfJqeSoDhSxUWRdSE4e6qjFiQ2HLc0KEJWvCIety6trl6C5tpuSReaqS0fRGGU+Tt6enol
p3yOZK2241KaSJ1NQNuXagCZojNeccjSGunat+yBzQzpfGmoOQVjkvOwqzy9ejsr097N1Brd51SI
9EvMiBiqX58Mi4M1tLNUaBTsrt7rpRExYLC5MXp48Fsdz6KOyWuzp5OoBvm7NVRj0gdU2FASWXay
xOoe7C7x7wXXPYQ9bT0V0mneXUv19Q1rm6Zv6XvVzGyQ2+WtHFRXxCqbDbl37S1Hw0AC2wG419ax
FvnyO7XT4GvGo5pe6mSu9EHWVv3Vuo7Z3c8J8Pc59+wFF6LEsbjS4AFFmMK/rKEgLf7lpAVIUyBs
NZ0SsxAAoIxzqMhWXQYXVeVMj62JLxFrALTHOehr51Qvstwe8PYfUHvy+sLtWKcWOsG83q+eQ/uG
s6lrCxHmqF1WtkRq6QYW53BkDfTbNpEHMVlHdpvwMWEQh4jcOnUq/dS/qDJDH5Ngdm6JzqoZVWyu
dxTHj1FSN7htJguKwpwZ5KsTzvLsVp7a0Txuxx4uPVN07b8YRpWs0K2mP5x8hOrqY61ghQ48aIOn
VWfiawQgasJUdNXtGPTty7jAq2UObOeFk6/FVW/XXhGBvVqvNvHUF8msdtMPbnoIiiklHVV2sjy4
pRQkaOzFCZe1aVqi5Y345IAsYo4sP6f033Beh6THjG4TFUG4FOhk3Pcxkdr21dJuY5CJUB50EAnD
OTL0Wr206Zg+YcT49BNKYBCTefFxbovF9Xknt/avbRbQli2taJ8Du0fYFyh4Gid6tzCTf1jLJqNx
VY9Zblsnw3Z48g+L6wQXLSuF5NHcrGm7yq0iX/dlAU92o+vJgUufDS8LDTE6+mg3vdz2/FPp8czz
JsLVVuWne92Ozb6n72O5HDd/eIJnqdxI26n9qDNs8RhcMwVjzZuHbu3TB97723GbNrDk3OeYZ03o
ON5p3LAIJb+5pPnI2dsGU4EuxB8hpd3jZ3UOc6Ofuac+61f1iuCpyAPYTQIl08BohBt989cN6Zc7
MS8xBdVNuIyj3rVSLRdmGdQ7VEW8uR4aZJw1Hli/gaOqwuuC0FGue9MuwfAw08dGpb+tfzW8tqeq
Wrocn4U1kkdtBIaMIXYhAkypnDwSk2G8qQGU+CIzGuis0Sm959mZpBlXmbCAKLup/jQL32MBAQft
DXYWl7PaO+dfetYSPOp1SYp9rYOMX6G7veHAwlzzXcg4A8yxwBVLD/PDafqDcLrlvYWZMLmO5eJW
K8d8YsDlCctyNIb1sVMXiVMvf8qkXffsYClOnZVs+jgFtbjm0uAnEKLE17O6cVgTw3UmZsjYvAhY
ZuyiLV+W98Vekya0IUZsfovJriyQEiMSKdsQermTZzs+zFYbzsSJfvPxlVd9Xpxrbi2T030SVXpM
MOmbeFLFfjZb2KE1od3RBiQmvMbGEQuzUZFs40ZsYmloI+NWxfVGRlxyN6p/c/vdHTjAom0Yub9C
dIgUkKYAo0vo+VufO7AGcTQGNnTsNbjkF5WR7mlSo/VWUiMf98rtjnnDY36znY7E0Sp51kDO7rpq
yPHx2EsdAtWSalmXkf1UpS37d2G0yW3qTe5BWp166bRf+DHIksr3SVbI+60b6v6ire3EjPsgkQkp
i4qFxeUSZAjZKXsgoO+Ya1xVLbd+gxQVYcUEXzpw/EenT59VEHRFCDsThPQglLx1N2/veNpk/bHp
X6w9KDVaZXWCc2ru8EPNuOmkBIBf3aLYUWPZP3Qks0KHVAUgXqX7z2xQctgHIBXd0Rsq8j94iF9s
5Jluly6DZWVLmZeHbp2mHNLLan6IYTbjgt/Dt8jF9jApDnimUXklRiXvsyYV5FqS+Rom7jL1AnfA
mEfvgnqZ6HqWn/3IwMMqWy/UdjVfErJ51HZrHvqsYOIFrHndNvXF223hNdZuOEr9VUAQnvrEKeNC
+7zeGRPyYskbURrNRen2fENT3dxhJ3KAgl28M1PA5vDwk48i/yA66tJDkbgM+pUT00hRQTHU7imv
zOaRalvzQAIK+TJQcV33zsHSlfc1FoZ1TMxOENLIj1vlQ63LMc9iYv7VPis757GzrPXS23zzbE5X
l+CT88fYNUkskrwsAQdXcznC3cKL8pCcP7dRUhZa5VYb9YnrXww5VFRIqiYr2C9ntB9uLv11t0mM
wnV0uiMhRWuXS8c7ZFkzH5tk5bo/NfkdbNd6I13hdqE7F0DoKI9B6M/D9mdlhRer5JggI5q9/KcV
BvNqtRvc3L4S3IkLP5qb3IxtJvk/hbF0h+4ccucw+dXigloANO543UseogOcUBahJrvJoayD9EgT
7aEt/PxQQV2HltMgfuSyGZ4Zd9kmVax9Ey0/d46lSeO2d/Nv31HBye3q7WFes+3NKlL5UNWk7EJT
UW3d2mKFfwEUi1hxyr6rTB3cGr/bZg0I2IK8HQk78QMtIP62i5N4sAlI7J2xTqIU++lqKrifjp5o
f5HrugRoh+CnEcZ9KAIxHNuyW+4LUyAcmYplmHmV/2oLx/yVmGUTF2PX3cwOYLWoVnvfnGsii36O
G8ReNoSs7h38i9xBWOiLhswU4aLx6CzeDb2YcyRaT1yurm0xSAVbTKFNu6vsweWOPOmrrk+N3cRh
vJeByXjHaqMrHlTZjo+M/1oZLXHrtMNEqhzgV9tKn1bqGKeDNqflScqFvXR9PfD+gEi89VPPl2Ga
SeJUhTHveOKuYe1UxX4d0vZig3uwLxcra4YdatppTVT/ZmS++eRSx2JwV9n6541C2MhOc+e1pZrt
4JW5yW91M4+N5PffVemw8/oiSy/aBQzJnNUcT67rMudsufd7qYoPafCDLDUElBy28s+0esmB50P9
0JIBZRxKjJvCaf2dSGZ6STlYR6us4rRQbI5ycavJ/CwPqi68m8aFogkHrgNDGCiuN2Eyu/qSeqfq
5EEs/DEH585IGLv7xdgYyJL1TopV7hZjYA0Z2xHA9Sf0I4OtD+DmJ7lsaFNrvckXSdDnzYWxN3vF
SZKO+tJrh+awct/YkS+o9E2yuOvvTRfOc54v5vfcsTJr3AL3btz0IZPuNtw0xprP12pqFDO1oY7l
Vny2rmX3O8PplyOj9/qt/Ky8y3vXPrbT1O46s0RbNynWEuNa7ScfAzZc6Zllktrc1GYc9li6lmd6
myOfS8s9hjlUh1tZHHr/dwyDa/1JfLL+Hv7dMfibyfD/kK1gSfsctf7f2wqXH12FmZH/zVT459/6
h6ng+X+5ri19SrcD2/HtfzEVxF8EfVxgNowFl8A5VuQ/TQXL/0u4AJgmIIbled651eM/TQXrL1Kg
VhDwJ4J/oKnwv2EqnEtN/+YouCBzpCkcXA0J+XX+83+p0JW9azR4esMOvAbobL0lNfJt+bzfmE6M
ZLif6vy7FcN/1bTi/1Rw/u0rkyukKcTyTRJT/Cxnr+NfvnKqXGeTWzHuZBJ07PJCIgWUEoRh3Qnx
xDZZM4jXLyQtehoZYumbpTgVzAg32uqbb+EGYLn5OWHNKej7v2p/rS8zW9g85TS8RpymaNagZ6t/
J4qW6MRoTmrvuIkdUchQEy2evAsjHRDNCchsxMAZN4s1pfdIdrfshJaxdJzPzEyreMwpWAm4og+G
ghhvq4e1PIOfqbmThm1ecoKZoWDMeXAYJqZw4QwlFmpYd0Vq5Tdej+Efjks23zh+9pQGPl8vWZf+
sIAj3a9uvcub7CpjC+J13vBSLMFmbYwYJvlvnWv+8ox2HpWoFp+ONMTz4PVkvzlh01vtBd2VW5Uu
IZ41CW043TJs7JUYDYkBQjZZ+qJnK3iQxLh2ycZzDBziYM32eA9BLuIE/O7XwB6xNMo7YRDWy506
cibDv50hRr6TxQ6IoddYkxypQ/A1NHNv74hjGhw6gfm8mFvPPxKRlXHSOOqhB0wvMDnXHCTFTtFK
ynydD77pq0vbMRnVXAN6iGKcyDFcebPoUtyaGkJ8h77u3rUG3hDSonmley7XY7NUd0t6Bp5BGfAU
ttYbLqRXctNpmqQ61GJcrqbMH9hklNBs32XBHldqu6yWqXluK98DlW56I409lnq+2PgexE24AXOR
gOCh35KLyV1qkxlBI8pLCNB1HJJ4qtoyEn0TDOFECvoIic0VpFbm9kK6gQMmTNhZOyB7oCeEDbvb
b/n3ELzsubL+uIbn4g6NU7WbMEDuEIx71j0RMnKj8bzMy7XIPaGrIWv4VZ1Nh3Qy8U1603YOQnlL
E9dsv3hx18nbdlvGOo9YThXT/jL4sNRdz6Bfe816SsreO8dv3OZ6HNXw3lY2b6S8NX+lZq3+JIPX
fPLK6Ic+r4JbKjcZa9oV1XOnGbV/0beBBgXene7trHIEyJk13Ul75KtstrKOeHXBEDFSiHf2HfYX
csvkEiViKpJQT5mqYuVY6w6SxN5nfbE+2vXmPFSWj/0wo2RtcVae0U/osuWzLRlfwiydm/spsYL3
3q/Va6d59XbC7+rroChyi3bkVL5MzIihN47WAsekl4+yHvpn5NzC5l7YyY9WZ9iXjWfksWV10mVq
zDozaq3W+mP02nokllW+TG6W3MvF8X4Bz6JAK6cgmm3PXFpToiOgv9aUN9TguOUj22/Frl9HieTZ
pk0ZJmSm+rh3xtLZa+UPGa8703wsF88OU0WuZadM22fxwcTFVaWbRUzSN49gVNN0ULnqHrp5atHe
U7O43BgRrLBmpJrCHPgQCamYDXjxtS+pV/LzF5wWEAvTrFHYZeVxaTfBLmPpOuVxa8+YmWVkHqmn
yaaFgV4QFHViwnziMz+7M8jf3tmD545YB66HO1BZ872ufeeFX6kb1o2E4pB+I3eJkN0jwRAVi0bM
O9dxy/sCYR9dvJcybOTS/nJ6ThMeZub6NptCvvMw5zfqk6xUYe9ZyCvCLw0c24liDxjChuu3wTV0
C/mQD05EKm09Gc1wMaZyrcjuZgHRwKnisTART65jtNjpZh7k/FIQgdyiTRRZT5gAQeWIVW+/6aGf
3CgdGR2RFQ1qdJDOsmsakcY7A0/l2V8XF2cxQVveITCKX3O5NV9tuiFMlmrkka7NgEFpIEa5RU2h
Nhcxu1vTk5UYtof54+Q3ZVWa6q5mR5TaEUB1LuqJeo5DX5BUv1hhcc+3fotPV1cj+seizYyPGQc0
idY0oYmvYlPCvq96pvAZLnAvHDp54rnZaM0gZGmIiDdOh30INZ3Szo0YHNWzGcRtUsPI0YfQ86/A
Eqhw6fyRcR+Q0CdKfhEQRYga20+ueSd1795kWNdG3nkvY9aVFzTP55dbBizKOSeLo1QrJ2hejesr
BUA89AhCzzdiyP1qV+L9PG8YlCjAuWrb0HGF91VXUj4uZ1JRAzmUuM9m3vCR87rvdZxwNVF/VaSr
jA5JM5hv/HK29vygE9xhXb5WddpdpOx30lHmceyk1OTj9lfbZWmjtBoekReyy87O4Tv/IBV+M84q
CUfPxDXaGKR+g1wVN6wI7OcdfC5GS04Rro7Y7uGZxyRdzRmo1U8+zHT1Wm7wQ75e1XItLPTHSb2a
xHP5RZ/zcJG/LD7RR4ufbUnU+otKJ/nE47eBv7XlITWX9a3mfL6SdrrQIUDxw1s5LgFUeL9hHKQm
/ng0ZcggkQ1hH4T9Sq9ExE2le59Hd7gTnkEuYknsO9Pr3T9oskbkJ3p7dvkgfQbSSEQ0mFLvl7o4
2EKvTeTXA8pRVwzd16YngjBu23susLBB7IVfmn2vRTs+1rU1nvDA8uKK8d97c0elvtEFKcG1VIsh
hSRKxGLMFO0BSKYLWy22RUwtDSOJ/2vFqf/gdNH30rLUwmOLeg5Uj5Gwb1wPjYFU17Jb7ZY2Agxl
MZHsIaxEmC3CcxExYTw3Xpyi50NAs8DSG9lHS6fRTT3Vr1PZqbjqkgWl3yJIWSJ87hkM8NPGwfCm
y1UJ+Sg359xyjD5EzjMR2b5RhMbjklfC+nHeR1BZWgFs/7O1B+eyUtLH5/KstEM9xyNrDUNejcKC
p8bDz89uPlp/UBw9k7fZLrB7qggsmyGBK5E3fCMNZG3Yjh7lLUK7/gN4dprsxx9qwGf3dR8rNDU+
nQ62bjiTG+ZNM9EPRAtIhlWCbWTUl+MkSObS/o1AZVUVg1ABqiBMjr0OtqQK/Y290SEHvPXd5UlS
85wu0l+aBc9bZIxiuaWfBAjCpMNnR8YsLUkUAvFcQTisF7rVxu9EdzDv2kXjD/PON6OG8Pz7uSwY
J2PEqU0NWcvIYdfLB4l2ngL/YGTYY2w9slleiGM6kRvjoNrm5zkHcwUjPqMba+Kg1fAWAOnIuUWm
19QMOA/mD/RRzEReQk3JTReNTtWeBml7X2UCXbeIJPKDvIix74LIOZMj7iTU6wxDHbrGxsTWsf0g
zMu+DieT4D1dQzCFrIrH9RvAUdYzl2K6UTVQT0CK7xzXp0QhHfxyL7SBJ5xo2pC2hi92JlrGM9uS
SiiX0plMeJeVnTVLdUxx7rNwzcBhssYwdjNrrPfkA4udFySCI3dK7pDb0La80d/2fld+0s9jvfJO
dL4hvLMd+ojDJ6z2gjsPCeYqUwuBiDUrvIfNWnW9M4dAPRqs4L22x5nXjw/FC/E6HldkeNhl6PfZ
+poIv3/qfwAfvbnLGpOB7i3yIs34HTANfgo14f7howIq1E5i9lHJ7ebb8Xvkvs1QQELNSiy+7m1x
PfdcxbVtqAwLkndhmOu5UrE1rvO3NrwlbrYWv2rjoRI2FbXIGAVnYimhUpyhEkTFPo5YSKQt8mW9
EGfIafvhnRC+kKRypcgLitVRHGNVW9wA3Y5ljCU7mQhkRbdLLakfcXKMh3qlrWrzKMzaSgRGFqB3
3m62/Tmqg8xhvXc7zmZYVNK4yIuEHNmygmHyJpbBU51MBP2cZGUS5KAs2jjtcB0hAIg3UUchoTvo
ZGJCMsTKS+uJ+tliG+u+gbySuzFvzEti9mra0f8S9FHq9sUrSdSgvyDxov4ARICXUSPHVFSx16wk
poURSLTdrl/M0Sme5t70v+wyrY+0XCzNaSTe8aviZkwc1emyj0zUqbnnGuvezmsOHO8YFUUY9g/0
lp75N9LqK2ZtBcEXs6cK9c4Xlr1wDNftfefP2QQ0x9sw7PTGgD0aXHN60Zl3tqdb67LwiSrtaZsw
n7yz+0Ppw59qKxbvLCMqTFXLS2Q4lUaWHl2ZQmt0s3tTDxRykeAmQ3uhqUi6oDefN1zCJ/80ZG53
1xOKzLHhBV1gwuWaNy1NdtCghqfZT90mMursS3q92YXo8iSugs69l1l1CetA9UdbU3xEwdGi8me1
yZKqLkvuamc+VL0oDro2hhgZ0A5nW972fAButZH4O+wHDM5CmNwbGD86EDcV0n6a70Z6REMsmixW
Y0FN2TSbezB9fahaq7qfBc0e5drV8WAxNTolWYiEL7OK4qrGkUcK4y7irWd7ecnkrRO4/Z6C5ePI
wUZh0rxL+3y+q2RnvphViZMmzIwcU9e/VskEtagxyScgyx3xvHXvYlt4ylhmdNBR4iQvwSnx2CTM
fGKnQH9gGHGQtEABVk71NA7JtjM72pSUD72wTd0sojoJkmjj4f3H771DS07qu1lVfpdO1AsNUxW8
EebyLzxlO7/sVqZfPgdo5PECjV1B0GAQwJF0jiXK3fFfzI27DfXcixbiD0y8qm+eym4wjzjFuKEz
wYwnp1TGZZFUI+yb0RwJiU7PDTmE92Q0kemoMDK+p9Gr+ncn5xp0xg6I61SJb26HLstn1HRhL/Gg
cZrgz5viy7CG7mq1oE/CSQUcYNlimUwDDYLiviBlFuZ0brA8S/jZnqKXkfVEMziFMhsniEZtoWy7
FpNCnJ/PzMZv8EGQ2nlQ+WjVecyM1F+w7ZLHzsC39ka1MXb6Mmq8pQW5NOHxb2/u0S25JhBsd6j9
s+te5HRMkKUOncqS7wONAH8aF5eOyFSQswGu94NTMAVLcKRqpE8jp1IM0bNTyD8+TUmxRsm57Od+
voEEwfcjZc5gOtKT+0lDGUq1SFt9jyxQH4fRcR7EYE4l/W0mj0SWWs5xSnwIdrLp6XPDmYRb0Drh
cp7BTdnwprZ5hX3SHGm8YXoafIj+fW0sw+ewYg4ffkS//2mg+v8/fTSA9vg/6aPXH19q/fhfd93H
159e/St5bf3jr/6TvLb/8l1fSM8ybZPs4t9F0nMBJUroWTu1ybD8J3gt//L5C4EfCEEMyDuvTPyn
Rmpbf5kepHAgJXoODNN/SyO1SIr+u0xqmVJyG0EphdF1/r2kX1sGfX351u+XYlQiZi8piz/6Tt0a
Rma+KHewXv2WYpeo2+ib0T+shl81EB6zzh4rYetbIBTYkHZeBYYkqMf2Q31QmmrLKx4Yo3pJWeOy
hsYZEpmSDIWjse14MRzYUbN4aM9AiefWLh1F43TbVDSXZN1icLDNT7Aa5VO6VdXX6HrOLd5BdrRF
4yPUbOpEdny8K/MF7NjxXNiW/odzgcwEeaEy4qB+OJhq4NoGCDGbEePqeh+MCdxMpmVRX8CIPJBU
hauZfhgbqbbysfkhbzLdTY/lD4+ziRm9BgrmLGj9MDv2D7/jnFEew/Cheta2Qhl0fmgfMNkguCBs
BwW08uDr7lfgjC/RiVof0mDJpxfDAh+qab36jecJU2R3QVvuBg/mIf2hjvTZyI4NeaaR3B8yaaMI
6nsgTFZzOJbte8FV7qnGx8GrBmzCInQPM6yTQtw1LpofAoo6LfmbHIWYTo4kUBG2ZM3SsPhhp9QC
RiXPQJX1w1YlP5xVsJpPxLb123iGsEhodp+L2Xs35Q+j1fssLkh+yC23bGacRHCuM3kNfn+GvKCa
MAUHl7IlcnSs/gZt2I7uGQ0jAJ5eOT+82HZGx7KMUvJwMCvzwuj8HK6OhPLww5vh4XIUmA4UWjOW
XYgdqmImfclIkds2RcYzCneTpdQZ559jybtlqVr6jnRZI6WekTf/DL8RhmWmLPi5uWnDGv0AcumZ
lTPpPKDCDH4uLUr/VfxAddYPYKfOrB2q3RR54HcO+0mQuM5E3kL7IXvtNVnVM7A3nNk9CcTX/OB8
VaeuXBfCz/Pc4K3rCn2dMsbLXbFu6kAzn88BYCOOgkQXvyaiicDxtrvQWKfTBXxWYOUj5Vcqjwos
QOZZVWTNRV85xsHzN5Q22OH+ak4mTelQ9XAu/9jp2hLtQWSDHXIuPhVCTG+d8MgbNww6UUAriqK0
tUfm92t28dDaV24fLgKSeh2RUDWFYcpD0lYyQ523jHk+md6AijePGxWoNenh6mTRBpCCQU3qVz/r
peVCmQ71vkb8WK5aUqpBrKBJiDj5tqPo6ZP2GSmdrdu+05aH5tbJN2eD51rIbhBTOiTlKF6FI1rj
xhXsmKTTVatxv5ytlVhMvb1GORiyu59XgIo4W/hFA0BW7pldo4x0ucFXTsdrsq1zRilYZpaPdBGI
6oFa7nxi9Ess7FXeXaQzvSJfqHokOxBpkB+Cl2uwFWGzzRzCSg9PZla4J4ystH3MqTL06XAZguzP
TBYY55zIPJpSQ5Zq3awCakWNdiTqLP9TzEPQ7Zwk6Uh0cSUx49Ql4RBZ5sao1FPKSh/HaCVTjDH6
3RHFB251ZiCdrMn7E+9MblCNRq2zgCPuufBVN1Xlul/SWCr7KAKPbo0RgOG3ExSdATSCSsnYtsDn
80d7fmL7uZLCem7J8ZpcnwhaF7lgYKejI42UT3mXx8p2alysgCQpmFCGQKs2ipt4QHp9NGZjW0f8
iFAtukkM/tBBdC2WvKKTkPjJ2zRV/vWEtP5akwJDSXPnFbWLNfbcGvBPGEaWHc+hlDLJPpiP0hrm
64kizLvEQL6KKJ7BtDDkck8Z10qpbmU/lFNFfceMjYM1U6X1KUGU6TEaFutksVf2chgoKHSNrn2y
Ktt5LVFS91bH3XOrAsldaeYuxfpp8guk62lQYRsjjotNFyO0U7oxUG3jwVzH4KqpByOqEBWQKOpy
xAapmltjqMcPJLblHQNJvPTKyk9ynDL66qbkgdNS+zRteP1TbWXL75a59QsTaH6au3LeT271GPBY
WriteNQQqKl+JPfNbb/Hg7poWy6HB1TK9GiVrROXCL2HiZ3EGtaE6EdEz5hWe784J5n6Qr6lpCva
eERmvWQ5tf8dYLWElabWkU2g5jEbhvLd80pMnto17Rn9eHR2xQQ6hdBXH8tygrqiZ++G4koHk7Ae
rGy/WvzAeF+Mr7U2rsYkc86tCRQkXbHRYmtQxrb6uS3mwsN2Kc+u1tSIUyNGulFzlQ4x1cTCDVdz
0O+uYYj7aVyd66zNg9uKkhaEIzB7jubuitLi/i2bEPLDeaEXrVny9LK0SqivduVB5QLnPrBekf8/
sEn2lu9leC+pX33JrZ7L5Ej184PtteoEt9oM56IVcMfsD11wxbP0tmw3J/DiN/z2qjdzM7d4ocaE
RXaDe6htkcW6br5wkrY7hVJzw+SyALFXJeIhPlwbGFqdKnrzQraXd7s8YKtPSDuEE1umlpTZnO8d
5Ris99bIhptHCtqNC1vU3bsNfslsLuAdwqRuqWOYuVgCkMl++C3bSWDxNNM9/ZTSOYGk5b/oLjo3
hogBEcHMRPW7Jsr0SaXXRJnfUpM96unsQxbikpjtp3TyHmnyQItz3MK7aHxc2BD7gP9dFVmniP8a
DzPT8LyJO62uItcGbQ5zcqP3IiMP4c49T2Z+udbLuWN22A2I63XE3y7jhsGMe5676AMNMsO3Wwc1
FO/E/zcdNX5TYDKditltrmbZeReuoZv7vIZJwwKhpjt2iyl7LmgPO6i27C+1ov/WlGSIAupCUCw7
XaBWFYWKAtlz2HCLJtlB3Szf4aT4w4DOw+DYZWWPaAqd/dEGQJu7dnHWD0329nPoFw9Xqp8qdtCC
5UF50++Q31mG28GMZS0MIX+9AoxjC3dYen11Szh/e2AwVVTXpjZsuvZT/MSxwP/gv5ke7CCr3+kd
K/m8OdW8566n/4O9M1mSVMm27BeRAigoMCwDrDfv3cMjJohHR9+jSvP1texWDp6kVIm8Ny/JScq9
ETfcwzH06Nl7r23tklKDAXP77nvTTjINaURtvpBk3YuTJODalRpjnQyKcCHkrkva9vBrOouthseX
FKe8M8lo+Gb7bfLT/tdmtj3eazIND3nmavIjqpW4dtblrnGQEwkUX9swtGxM7oAW3GQ5gbR+S0Vs
O2n7xFsfpszgQQhh2Gk7lLEkfU+s6v7emXlNjnYA16IO4C4PCbpKhK2tqUOxrP0Pn5hKlPpGsD0O
de86UacW9TVNrRt7+MVayrnp6Ra5DUrUm2t6jtBPgG1ZlbfcpsFSMM24mr+n2xS8BX1X+iE3AQwI
UAmP4KAaLsqEJT/pQ9fZa7mo4InUiahiXjA+KrnB8XEXz9CGOJmfmnR1z1nVJthm68k/ilYYU1iy
6AAczN/ZEYqiPrjT5Iw7oCfecw5PDd56M9uvklMn6mSqPnB8QQAmW/UEhZa5LUNQeK6Q+vXeDDZ3
ZCQxzJXJXhNwHHQqX2HB56BYCWLuTL9cH7GWlUDnF/HSd7yoj1LAbdzlCPGxq13jN2+8Ys/5LPfY
+Ys/bHW6iFHIfec631r70TTki6lm+aPd0ErCIBN5SFn4AGN6RS/LZOt9Lz29PdXmYPyEpFKQF82G
/GKPU31pcHr9DXyE9OuWjm2yA2Fd/xbOMn1sM6EQoOz64rEnyyMHkEURmp4uGhLiw3o3mvIWOvZ9
LY8rItw7nMpKx9WIKdmc3OlSZ0MQemtuIgK7nYitVQ0qbOyqOoM4nrPQqfT6bfOpRGuzAisp1T+9
F2WsovfwxbsruUUP50uaD/HcpPmF1J95smr1udxrAJK0zaMNjhFfiN3/SKClc5mS3XnJhH/Kh443
D4Si53z2sNSAp053+Tq3OyyDzGNG9mGXlr8D6bqAMWz1zh6Dv63nHEcphtOSJmnc+xN8JyNbDuAQ
20OCo+NPgur7iK+F998akGcaFm6HxuQc2nrKDuyVHcpFFi0fAK20TwvsnVNfdOMeZHFzBMpUXkBk
q19zOXXP3r29Pkw0oxErzPaNvUq6l2y+jnMVpD8YZ0bWwtkL2HfunYovFB4da7c7S8PTbQL1CPB/
FwwUaqZqvKKscFIbeovmfP7F7WE6gaCmBoKTGCp2M0+/y74x57iYK/9UEar7UfQsJmHDyek884CE
hrEOlwFNiGGxLM7AzfXX5ve/t85gtqqc5H6cchvrsiY5yXUYUGTt7cAVKN1rvG7sfxA9bkGOFReg
kAj7xiCJnLJZy5NFPk+1uYKMh+l9kX05Xc0u606r0dGt5buD+ehipwtBrsgrCOQ3Hvtn6aQXvagP
sc0Oml9JHMetSDSWSKM4o8Es04sKszEtuLhtRXbLjKkpwwJn+AcCI6pkKoOQ26dUHLD9uzSn5Svv
yuWJyBb+TFNOxQ0erXckDOec2sQNxMFcRofXG9uw79I2H8tuHB7x+HeHZJyO96J2JkDVNNzThPrB
1JmETem6n+Pa6p/dNt7qrOovWC7rqLdgBfGKAaWDhGf+TBk3QsQu6I8kyG8MettFo7g9FJVWtMfx
Z4Myc3EFUVvQV2CCeUQN91Rvtf3QSm9+mzxm8xW+O4pOZUzf2Xi658myyfHVxDSnVYw//Qb7SBV4
y8UNkvk1SWlXIeRi7mfH53STEp+tYUlChn0AKbxLUx1pAP5mzDTyVPE09jFGeGKdLU7PuDd6V1Mq
qBrsNbY3cYRbOEsltzZuwwaZJGQGq44yQ+m/dF9P3puXLj6dJHbTcDOZ7CycOE1+D7ZB0UVZ1csR
1kLzg2Q36wklbLwrnoHJ/ImIhvlBpV7L+F2Szy+E/cPODPloF5X1eywMvOulU9V0X/FzOCluN3vp
VVwkQOXkHyUWVxfbA6HEV/aRTXNcUnyrxAjozfKrfvvUGdghjw3QaVGjzX1hEc0TKqItj/cFyVfq
GhalbBvueEcvEm2d7G0dTs1kvFrjau6mWTsh50v3Skxk+rKrnBfAaNVH281/4K3PLoKO6yauVFpG
5syehXtdhUklad233lun49hswr6ly0rGXQDgHWLgTxQeTmYtjL1YjGJiIYz29lH0uW0eOk5NgYZX
3UfG9DrPHWinoeAvYgoU3jUqB8ZdoQPzb0em/sHfnOSbudSeR8BGJOhdgK8+iQUMZzY4Tbv3ix6R
zsbDdybJI+q3GSzPazNZWl7rBXzFpc2Wcom2bK3jfDbmcGUrcZiE950IbB3EPde3g2A55/FGys05
FBZBdS6dw4+g4cTazzObbZBNM4xwYbx1fkL/tNzGkBGSzI5q9Q8+cvnwwCtfOpee7MCjlQjnV1Uo
/xubGURJziMm6c49NGXVPbhB1/9yhjTlwxSk4rr0ytpj7K9+E7IxkiNwOuisZjbgA7M2xLodufwB
5NFwL0IRnT1MoezmO0Ao7+ZbUULH5VqoUvYRFWr8zscwg5Y2Njj5uy6doZCP6DKXKlNujSFj4eMO
PBiHCAZzOPUjN7Fiz7Lbrw7a02Y0lC60bGfo1KdI+vuoPLbQwvOxqmjE4IqMhbBSjw3XF/5pPfBy
z6DcyB3ndCnPPUv9L9hZzm5QNMqEJQoaEw5H1OqhqO2crF7Oc9DJn3C3u2+SMpHPTRJFwvaXQc7z
K7EilaGcAuUe172/ToywOUb4E5N4tddbV1Zhsiq4oHXTm33YFVOHwAyF5YfTrxT/SCUfEEx8h0tX
7Rv7CetJ5Oa++0uy/zAiKMTlhSRb2fCWt/3PYjTgyloS/l7RS/EECU8cqxrBgCdYVC+NUfXHORFI
3tnA3SO0g5RqFcxhzdUq7oLY2IP8RoQu4U/quh36Q2LXhkacmJK6OxGcTyippdzkUGoPKlZSJct3
Lblg8Z3444daUZlDiW+E79q7O0Zs0Ix4ZoKVBZrGIfClqsx680HBEvSefMmcAEfrIkeNApi6Gv4r
6Cf2FvliWPs1tUwjhMk2DefAU9u3olFcung8pR+V6eK5EO7NBccBXqgDjTryzELEy/eNLxpcnGb1
G5eifUPlxO5alXdRBjvgIB9zlU4ffeAW3/rZ1FDR1gTj3bz5eA1Kw8N8gPvPQr3nUTlPawISaxr8
O0lWp8FbnQ/c5glhmbtVWsXPZJ1BSirb7mHBQtYgp2laNCWOJSUzJ3/ph+aQ+oEWFximagMLQuPP
4KrhvZJ2xmWMiux6RwKchUA+wYbHPMfukbuAUVL9MGBvQCsUKXS43Lss9sCulDSa/1AQQRqZJ4gp
7rwi7Stil4YAHdugkkVuMyEfVY3FwkZmACYjnevuoaAjEtQI6vl3mRRJtHm9+s4nabCvg2mqQ9ql
o7p2hM5d5mWPjnCc+OlvqLVFtl9sVTDsgaPtQ44l3itLs1T1eyG0c96Ce1e5qSa4lTPHpANmPSCw
ILEQGjZoFUI15npdG4NyCG6RRhp2w0LPELi+qojtLN+ekQxpvcId2SDUw4KOerrtKBjOneQ2L0Yy
hwNsxrg3C+xPxLrvBgIzoJGCt6rQOxx2ewP/mLqus9tQ8gGfYCPEDq4SzLnJMmn0JO+BLQt8GNkT
033FycYVDBceRTcF/BVfVIM8tH4KmMScU5ZFa8sXnEJGT24jXshkX9XWX10a/svgexabR9CDxDlb
8BmkbYCeuoTrqp1RdUMTj7w2yTRNvfGcctXwP2y6nuJUauARfgHhwp8tbey51jv5X4eAzI+KgcyN
i5yINVtc2IUMrlAGKPh5KTHSHj2f0O+eOIf30SGFXrZVpx9Fnd0TPn5XPFV99dlRFRK3FK+Vp4JD
JE6UjXegn3QSqSWhnAQE3u8279a3gty8EdFvYzKa8tpdLxVH4bCjvIQ6O/zN/rGf77vsUge/GOaG
n2bh1++buQx52OJ3Rls3srNhITaFU3v/jqYEqrb4JxaaERC1DEJObC3EfmGhcGGlA1NVuOppNFf7
7u9oBXEob96Oggf3Zern7iXZEHCzf8Kp2T2nCrKNd/Z0T6+WeOaXS9aTaYVASLx1m+9R19oY2URZ
3T0Cmzj3OKz/TzQ2+ycmmxDaLOBZ3eOz22YRpe3w/MsjqE4itmwzfQc7OcnbiQhu1jsSzrS1fpnE
c8U9p9uZBX6nf8K7CDJ4y+6JXmayhXRvWWTyFUQBS4t/4r9w4tM32JH+G7Mo1krzn6iw+U9sGOxI
/016Zvs3sJmcUV7YA4T+aNZ/bBgfZegL/JGNXFj29yonX3nPKTv/RJabf+LL/1+f/e9gsSxXkuj4
f8dX/lfzOxv+7/LsP7/z3+qs8y9PUhjlsvrGR+Dcq33/zcWS/BvTFdIiOAqP6i6M/luetYJ/WRJ1
2LQsz/I9dNt/i7OW/S9pC8DH/OekYwOU+x/kV/6jEJH4B3+ERXiFPIwkQyP/g3EoWUJqSxXTHhDO
PL5mWNbfNs9o2Fi0gXxkg+DjTbKg0DYmFyAakIu4mlI3+i9/bf+Gdf1XOBc3DvEfGjFfBtjXAMEZ
7Irw/xPDZ7paYnsL7Li1wNWWPkuCRAbJSae1/abKPLguvD8Zn3Z10tIq1KqjXwUGOIfFPfKP8r1h
le2hLbP6B/ARE60JzAflA3ke1bhkn0yO6NPG2B5RmasesiKnR6SANhEjD9nP2YjykYPkOvkgizkT
jG0Kl7RKYmMo50i43ho3zOIUx6n507KxUJHJ5M5c+GtwIY3qIt3axB8Lfj2EAoXGMCRy+WopOkL/
cB7gphpHCq9dqFLjJL5Q8qubi5meC1lfcStYzP6yyCnM5YoiKKbtt1UO7lvAQ3Cg/lATUp3Hp5wU
awFep8yxcM3tTyS/8aQQWB8zZ7LOZmvZkaQKkKijMz2lUmAqaew1NgtxrlpoI+S0WUTL9H11Au6q
BbdxOoYs+WmpJKCpz7Tfszkw9grO6Ik8AysmGALXPkuNPb/EPEDnkFE7Z8NxxFpwTQ0xn7R/n9PX
at+s6Rr1eHIv1K3l8K6dNO7mvos9RXs5rQON2K/e7MbJ5HDCuXJ6c3uzi4K8FZGX9tkr5YLup8eS
KYYzgO7FwHHsRrHxrfVP2x28UktjvqV1Wbwpjvtv80wRBKawBNEea9bQ2uACWlK2Yhv0774u/FjW
ZfNMBJdLVCINdZu7ejjnqXAibAv7cZlvTtYf/ca4+H1GommByKFN79ET3B8QvFIr3Mz8YDM/7tga
swAlCXIoxQowZ5R3qPF6t48bEQbPMhwB2I5yfMKcKlHBkx7z5dhEcz3kR2agLOqmgU6kspw+8yJF
2R6nlmhOii21MYyfHips7Otmfahdet6Cmecp57HaO/fGxI5r0P3/yd/pMAWHGXvot42ulWZnWHq9
pc5M50nWWs/mIqwnVevl0eywKvSdXqJ5wwkFTPyR8jMaUmq1Hbp0mp6rypWHqnK2Z2dKqEnZjDys
BbB4DQ32qVzz5lFYdhoTj3VjuBLylJEWJiDf0/7TmHaoMX4d27nrPqpGCH6auM2bqqTtMKj/Cioo
YhY/9RtBNayR6+BF/DfaEDCSPGrSWtclW9jkuJN/aJrUjgXaKQwcPF4c2UEQD6nphwudY9GQcmgP
hI/iEnf7csDTgbkTyr67V4IOK14Rks/aWMrI6BagBU291scCROR5zVjFKbEw2o+GeNELSnIzPizd
BqxAt+7Nb531cHdAoQ1L65b62WPASya2feJVqg6rDLkwNRt10ZbIf63tkP1lEazCO6kttIItwWs2
m4+4RfvPlLf+kZ4beR607m4NHsDT1mh3j8yCp5AvO+zp0HhJKaD5sjs/P8tico/TrNSvgcTdC29m
Vn7eXSHqFeqzVySwzCWWdgY6ymJYlcryhHoWggAderJUSq0HF2fsHFEiVeMh7jC0JWjme3ckM/fQ
gPMnjDekxU3NhMKzwSj2RYpYmGHMpTQiSfHLU1KK+bE3BUXruMEnsuWz5FqQfAg0i0eHjtCN+DfA
MnaKFT/ngHZdqsksXz1TDyOrO0Jo+Bj7bgtLK0nB3JC14PCDeicoOOKdth7ICDXnea2z753VaH2n
U/G5zu4Z5EUE5Z5ywYarIZ074pp1pXv2aD5xYtEFf1ZqRdNT1zR9PKupOfv0j306eTAdt6Klh09P
gmS/78kDPleyNFigur95W64d6b1h+uuN/j0js02ftRWoYyfbxyYzCGKzxW0M09phBcXeB0x1QyoG
rsEFjvgWiqDzvfJKmA8yS9tPpx6qU1Cs/AHm7J2SOfdDUo3NKbOTGU8Njm/qPgjyPYFe1NahTmZC
A7JYNWpxTaveH2m4o3qxitp5TTsWn3skj+5r5KPwlSR280EZhnGjULZBrWs5oGNr4E+rA0zsXcGK
kUMqcT7wY36WdWBc6K9Ykgu7cq7XVP7I0IWoFf6folp5f/7h8ZMq+6etFmcHtH6gDH+t1XZfOApH
/zR7RVU8T+PYnibPyl8V8/Qr+L5FRsLqbfdB10H/N62hNuLU9+S3Bo3t1zr762mCxH1Ycy0v8L/8
P0HtWQ6kFLOA42i516Rw6Ahhwu9f7cyVt2bhb7UsK++grd7ZOaPRy5cykf332pH9i8Pb+nWt+/5I
l7gmX5qCRO5oDJOwjPzlJrZEHB1AmrE3MrvMUORwX84eCjuMlsfRSrzirMsXAw42mVYiUQ5wtRgY
YILDMTB78xtpzPz77BbKxlmQs4yrq3QSGF2U+0OaWd88QlEooBPlDY79kb7AuLKMARs5Cv2z1aCA
G5aRPmf4FD6robPeBXvSV0Tx+hxYI7xfsbSPSWWkOCcCiq2ske231PwnmLXmggYLAk3Vks+0t9rT
xfIcmgoC33hG9yBd2itgmvPW/vHuoUDqO4wVXkCi34fFamDXEdzjwt6Uy8Na1vYUb5TmCG6sgMTD
tG5Z1lqzitCJT8nYLj8zz5ijdoC4k9r1eMPNXod47q2wqR0BTCe1Q8gzR7vGO4JZzz+xutoe1USI
d4BE0YWCmiVmMf/ACg3XVVMTbRjDkuzrciFCajiYOWZlH71x2ebz2BbZmXGG9mibVo83xgaJ3Utl
LNI7zvcDKEXrqaTBBs2L2FS5tTB9ikEML/yuvVus+WFQCwJl7TaRrEzvMqd3dGVLPiRqxmH87BLJ
HrVwVxq57GmflNjO3UxQ6Nm7xq61vOqQtFv6qLfV3U8Oz6iTDf5V0hG7y1NCQLmz65w/mXlahuZT
muorcQE1ivJse5+DngVYO80mll6F8SfzZbufSLBBb19W/c3I1v6pGkj7CRp4ygjHnv9w77bYDqup
ZBGNZXDwDQglrCeqQ5G4zrGA23JwTbqjYRfr/oFWziz0XUVIQtUdfCfTWp/GxbTbc9tu7k0GtX7K
3Az3mhZVccH1WL5pBSjJpk3iAMu7OhU0Ez8h4ghaKrp2/aPtuvJCCGjFN38KkqgxXLqWgmL0RAiR
U3bhbOG7idvahza5wO0pkp2LN2/X6nvnMxB8kmhsWymzTWr8PQv6CiU+3V6yn7o2njIfitnr8cVT
ALK0mbDP2AvYM87Y+I9BkvSARP0ChKntq461Ls5nOghCqS3jqIW2fhIGFKCd7uyGgd38K2+bjDLE
TKmOvFGeRMMEq0gn+lymwXXAUSaoLYwZerpDSr7jOrvuSDKrIg/HEnw8aDkZZ78gcCWMgEo59GBW
3Hb1RzVe+ljyVuT0J6GA7udwe2CLt0alYzY3D1DobjS0+dGhHD9xwPWX1pydC+Eyyjcc1ByHsgnk
hjb5SyyriktLeI8LPu27SUCx2JhpNmW9ZnywKecdAgMqWcIAc+mh7Oox9iq3f9lmifEe8LB4GKCG
hnmwLV8upcjPK2/xA4Ymk42cy1gGSC5U1fhncIgvyhTWKMvLjpMzTRg6Nwvs6vyQDAwF+Swu+MHq
uFhLLwZT1b53Nh4HyUGzq5Dm4jpPvNtKG+UHbpSH3gYtBKtqPFStPcIg5XJzHdyU3XA5eLxI7Eod
W+4YUZBmNohZd312FhQoUJ0X9m7v0q7/EIB4nDTQn9LCPNgvpUm8qJlPRu5zMsGPaT1S1PiytscK
ifmXXgf12DJ9EXhK0mtGnfwRrv189qyfJeDACaWejEQJRx/dmgVKxl1qm6MVDWNvcSDRmJquRICo
rwXWjKkrsQkrZKclxwewSgoz00u55fKWetBV2amS3Sww5Ydb58KTYWHGyFiTS4D1thv1/NbxYaLw
KW1D2D4dSR5EclDv5XO6MtEmQ+pc/Ek5z45V+2eNtzHG40SxsOFT1s6n/cLymlYr0Q6E26bGvD+G
Lho4jwbsHpKC7nJMqLs70Ot39svpQBleZPkZYBbNM72Gc+OStqSw9gxypQgHu1gug+0CRZacTdB+
WnWyvNpCSUN0SbHkDWENVCDCwsu+uz/2JjPE5mgfi44ksi6L6pRsNe8/bPofVtK1BhLFSq3hSJQi
S/vg03Q758BizfpGkyVstj6t8E5tKkKpSG8VG9jYnQPAt7qwf/jCF2yetu6FCbg4kb3UH2WTtCfR
dMaLpZX7Um59ybvShV7n3N2orFpRcOueBAlD2y/LsrhCW7hVd+QQfgugPYDnJtSf4jLWiRutZvLT
XDj7ED82oyTLnxtvVGdQ2LJqgtNQCI8GWfkTa+TgRgYveKVadoqatC/C1mKA1V4j4hFgeOR63dXM
GuqF8zaSJoRK4XCLNOuXQi8lc0IzfEGnB+PIphOzy2CcRmEfaV0yziYEvJh49/QAwGM8e0H54pKf
dX38v7YzPLT2t95cboquUyyqe3uS38tsfmxm0zrSf/7qoxelRg3JYjgmJVJqMyIPJJSZh4yG34Y0
+KzrILJ1/jWw2AirAftdCiP2pVhUfQwmAhscM83VKWeb53hoT4FfXnDS1hQhO9tFIhLFnutXx7r0
D8AgWjKKWQUIq8lP81SlB4H+bArqEPy1QaohzxJt2uhLHo5WnkyXyxX8//KXwBRHkZJHQpwcHUQ6
xTvSNo1jhlgbudjI8IvXyR7zRnJZKreODcx2x8Dipr9r+sK74oFK0Nu8aAPOfRqqkvCSd7JUdrFq
+7gJCj8pXXPfO3AoV9PxxDsoxjsyU09B7NqQsw9guMjOl4hACrOmcuF8592HMQdV5AuuKJukfqGm
vO2StaZ+BRv2VLom6GTC+D6tURTBnKe6/9Ms7nCDh2EgBvkmxU5o6WbnRz1tCHtWTGhQPkDAXixl
ZJfDeiPuqCPp2eYvwfcH5kGVU+jRXvKpDL8/wb3wnxY29vvE1BYtKOSW0wpxq1/MvdQT2U8cR7hb
PgVJ5heyBRh17QUjXw3aygb5LIf9BKPlMOdNS07W5K8eFwwQ0TmIZ4PK9V03uIg++ExkJ+erh4fk
qkV7S3PM0Jv1B4cyQIDNOwfB62KWlJqIpzWvTvWU/4Ta8WdNyZHvzK5lELd7bIcE5frjiFC659g0
wtmtFqQ+w4yJxs8A3zX8OYD1R06uY2m5Rzym0ezoaMbARNSqPvrQcZvUq2NO2z9yth+Mxg0Oo4eJ
3rAuro87j1lrT5b6u7JnIsaLEOWp5zh4HSxzfRBJ9l0JewuH1vgQeeA+1sUyfRmu6I78e5AyjC0I
ff1J9NzGGFGMV5Lit1b0UVcsZuiBUrhiegJ56NqfvMBRP8ze/RCitiIDoYXeSOsD1AXVt9InITpk
e2bocOjKcG2nP8oc7Z3maN4FHlJNqXyic7X8W3r2SWb5ibxGmM31Wy9zxkt6xnICJLueA3xfw1hh
uXGomvXT6Fjp+3cJLZ8TM8cuU02vXLLHfeXktwIT/CGwpqd5QHoSMB2fslG8F7QIhTg7qcOrTOZF
i40RCQXCXCPR9T6nsju3K1Z5lvOwLHKMMOE2UTmgo7lwBu0R6s3QtgPJMn12yitpvAvs6pyPY/N6
l85AnpyTYAyO+age5BYsQzQqFUSqtcip9O3ySePkudjQwCsuHOAHl6NEZjhM+P2wMSxre0LtVHuj
lGBCrcw+liNIkn7T6Y+0tOCBe+KLK/+bQPKan+yO6Fj/22PP9UaYoD1ZjL6njM1QDAEGG0DFhRpU
x95cPP/o2FXB3UQ9pjXrFqXa7kMAFz6WGHiQySGgx1bXFTtKMeltBZZ+tb27VMUibI9/Vr5STp+H
ibktt5YcPbtMW/YnKQsV4dyn9jJYroYH+zSYi4UflJkeOhuJxbO9FcNQJ/J37S7OA89ZbCukQpmM
1wJw9A7oB1uvE927fszvHWnDdSjE5KaI/GSuQNs371e3JSMgzfk1SIrX2m6zg9cW3QGse/lhgOqL
end4IgXC15WbeVwSpwflZKg45ZxnTsaFWWAZYwrvXqjqg1jKnHBvHSWOCOz4hGjfhf08f3dbjf2L
t/iJ6IVzq6ATRBQFG6yIq7LDJJTyMzvOi/CvXtrdE9qe7FDvC34d1AsdZU3Ghqp3f3usuhCKV5sE
aLE8F2PaW1F534cHpkeVI+Xp5FXSb+Xmlld4MM25EXLp4jEvgCcYVArAdCNYepjp1MPwQlHkVJJ6
aJk0GahKFdUOJ3K+ARHZDV5nG7wXYETcYKDo9IoT8gLqwPig6Zy6wo6rRzwalvUWuC6BJdsviUtU
bV1cl5GRzEs666hni+iylzY8nU29AeZYpffgCZlTLTf2R36LiE07n67c5e2PPCAaYU2y/wsnjtEx
cYigDFyYGgJcz3bjpo9k/MWhz4bigMrHAGTJ3sKGj9kp0l3tXk09RQPDn7CCu0eILcWVzK/9qmo7
PVerbb/x4ocJLEV20IicWMEg/h3sohb9npJ6qOFVTzSVy3/H0YdfYXV6DNXku9mEtaudffmS9wUg
grl8R7i7KfjoLDPn5qno8QRYi/MHJ734aZLmyai2FMnvpMrrN8aQ7wVlBXR6Dc+2Gt/IeN7NWyy8
FI1w00YRZ8nsfMHsyuNKp0foy0YfsRQ3X8RCvaPf0aRBb4QZ6xayWMp6EKBpuT2ZShNgMCs8Giv9
rfutxAeYmA4LOokcXbf0ZOVF9+CXArRHv+BYyqZ3vWZQpu3hW27BPBzymp5425UPSN35C2SE/oeD
7Rc6ceLNBzRYpEzS9PQJuFxs0uQtg396Qhhl3FH0cvjqsuRFwQtvKc6r7f3NGf/vtQZTdIe68yZY
CGRrYutv1ApwmEDsXSI1Wc1VbsmT8rYniePvOaPuHrxN1e3byf7VQPTbDW4ubkvNbAzehup58D5f
sGWItrTBj2Cy/KMEILxjSnJolSZdQg8j3GWCBsVp0bZ15NTlamyfyeM27/jR3Afb4vGjKj09KziW
Ry52dKoN1fOUS/JdCFN7r5+uFoP66E8aVjpbyVjb23gqx8Z40OsSsMRw3rKO2HhT1sgrA+5ODG86
UhQ1rs3AN1914WSJR2ojzKvlgRD3E7c4W5jId/ggAzZDsrxMzfJi3Y2/pNtB6cwgqu0keF2Xyblk
TfNq8iHame68H7QXxMtUvWGBeFgnoCqZpHNioUkZUbyEgRe6CnqkbIZpbzPh8C5kNerEU6B5J89w
IS9BK6aMLcBAtHudU/bVkhcyiaDuHVus/N2SKYqMNgtCBouNH687nloew2j1u5akwFZ2e1pDi9uU
jcnTsG3beZ2kf/ODqQrBrwFxwfo5gg5TTvAlC6L/lHj6bLsPjkt4eVjFc8BchMMfulKfk6IbPlZV
fLq6ZdE6wsnpW4+i1udk1Fm0IbC8DqQ9QttoqxdhtsOlB8IJRFJmH65dyGMJGYpmhpFUPb2aoKO8
qM86J/Z8mGT1FOxS9bygNZGQy4pzwWftq6aDOAkrr2PsngZ2L8rlE5BS12EpG12MgJMZ+xCXUu34
0WINJ/InLRhuFxilvyIJKiIF5Q6EFMdJjfUqNF3HZOUom4PAaMeP0a/tD7PPIAl5CuOiv1TNT4td
A58fZbdX/qPFufHX9wkbGgtCe9/yfrsFa1V4oYHh5ReIzzrmPIQ8NW/6lHYNtJWArPynmw/GG/d+
QXml5X7AAdXhwo49I56ejY+8F8ae79qpfkgqjH5l3sS9jqVBoBGFytKlhL4hPsv21lEf7jTmj9pY
+BivJT8ENKY5e0goZCX/NOWMmdU/YT9LjieQ7huvq8HU32fTc99VZmXNofLYU9EN3TZsMh2HkvXW
rh5T6hybUFRLQDdQWs8bfyW504UOQIh3RbfRCTmKMa5Rdr7nRu0cQR/lQPbbzubXgnPGGzzrz8Jr
fmXYK8NpJXauHFzJfd4Wkdnbv/BpcS+SGwsrnGusREZl+hdtT9RTDC3/i1TXjLeVogBGStP9bHCJ
YATlNTDeDDL7P0Vl57R72km775R2fxcM5PsNltzJT1J5Q2X93+ydyY7kzJllX6XR66ZAGo1GclEb
n4cYPDzm3BARGZGcR+P89H2YLamyVCoBtehFA63FDwj6UxHpTtpwv3vPHe9wVUHx75kJN/QHAOXI
nIdOgV5YRZQ+mNva5duDtWwfDCNomD9FS3iDsQ9KV7HiqNh/8+l0uwIeydqleOCAH+aqRskYMguw
jiXSMdYJUOrbluTaI8patKvLHOwC1tC1Z9R5S6REKUq2QZOA31NjtHGtwPkEvtFij8vM+qQNvFUC
gMVGoMoe3DGz76GipYRkAm9gFC3sNe1UnCrJzJJ2BfvejKT6EmqeBx7gcPY+iggfu1cHCXgHOvZm
w++ONAmJe5iPH75G0aM1g6hJN/TvsqI2UwMY2EKdvnRRTwdilQNNNymkDyIylcRV5009vVXxJtVA
IGxR3jERhIXW1dZzWNWbfkqbvQ924qXo6YQaw7LZkhEcYCYQ5Awy6mAKh1uHO8P/dsxop20juHaV
yVrfqR9j0EbTNim8emv6fXObeIhfIxLYVaYB7vmkcOQTw6Z5F0XA64ZiiHftaIzvQWt9ZzOiQwod
h4RZk78UMXsHlhzsyL4fP3QDZvLeUVm+JiyNEZUpiprXyRz45xhZklsHpKCnqDPbqysY+GwJ1Ib9
OhdmjHUboDXXUmltQps92YHDGMz2+DhOqUVfQtfvYXFwQYOPwQTxSNcvo1O7d7fLTu1y8QDbQxCp
whBALKg2XzAt47LqMBvKts+Wway1SeKh3wIrfOJmximllc3eKyts/rBYdvmUxVBvxA/mb8GZg0hy
k3GaXOc1FxrINOrsVCy1MHPhkDP7uyVU4Ly6gH3z0BzAPtrTQbetC3a9as7VvFSpd9q8RoPo9wwZ
kDnhVxL94NRS79tiCB4jTNd3yJX8VRKGguA95ZnRtHXhU5WcD+RU3VpBB+yIiuKRThNXYKOovPmm
mEf310R7TLZn+sIdkKkbltnGJ88pZ54etFSC+bK7t7vqQuJyU6Dm3dZjq44yc8kPgEctz2ERIsbV
pjPzLzR9t0sqwkj+XP6qB2UVq0ExUnFLu/vKsA7sWiMLDlRj8PNKXYm9xUHhjEf0kOUTsNoeG8/W
72lUwW1axC98vz8mUSf7ERGBrYu5+irMLa5tI7ybRL+ZElB2BJ0KfJ0VORQpIdMh7jC/MzdS2jQ1
zXantkMKAQDgDcSveVRrj2L7d7z/0yWhT2FV1VQ0tBEXg8Yuz7DFNElV5bDZMDPn/E/NVIztzauR
ixNt39shK3RbmhdmDZjLeX5zZ3q2Mif9mo08ftJ+434xgfNvnM46xV1CKwb3bfITnhgavKqxBXAB
hNebwUD2vrRqAOZFYfFUWMbGTIkIDH7SAusO+lTQ9aaQgjkz/EQD5eYhavs+FKZNhc9I5NIr8nsG
/+OxjAqfmAcdeOcwp0YXIDQDJsMBx90a70D/MJxHnDfocOnNM+ozu02fOMnPALGSa4Ic1B4IeEIV
EElpjjH1K8LQexzNn8PoZ2zjqnm2RZQd49ohv8V2Gr9Z3D9f28lkrNOZ5nSg4A7gkoo1tykci9Rt
OP0m9OOeaq6xePCmHDdy4al7QhBUqFTZAFU+BUiG0tfuLB2WcldUlJNDmEwCjLAD6d6JPtPfF5wU
WWJHzPyBiZcF9qgELZ2Eejx4hvAZZRje3qhH8VBKs79xDSavLevRFZOHQRMCpYMc2sdL5oTyINo2
fAPJaj8TrQFQC22A9SAzMXMYst/rbtHHARZad4kY0J1MCAIMvHASD026KWMHM5EbshPExYTQ3scp
CKgh3LSGJW7MLqNIjfQWVoxZCeKLFBhuVK0Kmgz1r8SKKYkrg5oMeYKdoUmzeSts68lF21/HpuXv
FavplvlufgM14eL0xbzTCvaNcGb3jvLukvv+OH5S0oXtWXvDUnwTDA1XpNm/M2MrvzKk9R+FIccL
A2z1KbyoOBsTwR5ZmP0paVyidmGY0cNcRt6jnJgyTnb7ptGhU2z1zXwLuDTd4aRp9myl+F2Ij913
Ir9i3ktvRs5ch4S+kY0cvBcA89FGk8DgKOmNyXONX+cy9KMD4L6TyQvodWYEhjdjbsLlvK7s+bbh
gSAKFPRL2bR71FG6j0i6nZw8Ro4MPO+U0ClS0SIAGiL3yC1OxREtowcAUeW8EeNwoqR5fgAngr7Z
uG6+DrwJqH3R4PqwbfvVUPbVawLyf9VwiRp4yG7ALS5tdLjJhwXpNiYPEXPCGDfUQXou74/vT2cg
6Siv2VjcpSWQNPLQR5vj7AM9RugGXKJu/CkHN8jlyb6tXL88oPv99AArSXM6hyEDI89wTtjbGdqY
XtgdEpDIbxGl6zud5f7ekTJ/tjqXhatlJn0skuJklaojTJLiCZHOuIktUb9kKR+UR43simty7a0a
BtXgy5RelnRM3jWgvB28V6gpRoyto+yw7Zh1tSMzhwAwdpMwV1XIXDaSZvbAMg0mjZH8uGXnIHoC
webcif67aiy0Hh1S5hoPSHtUfWFFtytnjf9rOuEnkEynw/Gpb8PxziuC4UAH13zFYplt5zhAkvKt
4lpzuLgO7SS2IXGNdyKONN5F3difqYwiwuHDnQOqGbwArBhXEXkkaKFJUKe8+dT8MV7yX4s4mzZV
XKIaRKWBWV6k9CwSDUwGmP555IoHK1bxnV1ohPI5IgLuD3Z7QRuIfkIONKkZo7lgbSNEYnew1HlS
Wr6B2xpZz2aNajg6FO1MfrPGZZ/h24qZJzjS/1kHvjxxUAl/IhIuLSOLFAUR9SHmEp5zEeick9e+
LVLQqxngylr5pdm+z4ESL6gb8Tv+NBK7dW1vQz8wtjNEiO/IkNZ1GhWTg6DMnvD0R1vGAlzvC+Kz
tl+5j45pmXsiAM5aeCq60qlHOKOSXXZq8Vj/IlzQPxZsrwxmpuC+9msH5luV5Ye8JW5tJEFwgvJr
72rNXsPluTCJpU3DOzKLumVklW290uvIjgxS3zMxkI95xwXcKKf0MS2Nz0Q3NG027J9dFpwI1GjG
OU5zH9aj9eEUPbJiyjsDSRsap3TBDURVQ8yrnsWRng2DwLzRX2diYOjzQ9dsssLF/d0gZFSJP6wr
X1i/ROIFZxw6JC8qg54dOm266KI4HMBuHoMT1RrZfmhq6OQjV32uzqgFTKPEdaAM85r4FBCFGAGe
iiB+ZHflzONwl2b7tQ8N+S1maVF6pklnfFYDJWVUzTJ4MrKWmTXH2g1n5PTVJzqLGG0E0VtPHi9Z
+VkyIDugb8/4aliiYiPduaYtz1qo+aOgPG/vRUzvSADba58r5xrKB9sVs75H1LD24DhQEYd50d4r
s9O/MNdMwFND53GurfnYk61c871BcRexf6rSQaFpMInhVcWKL+mNnnrtoitMyrBW2PJiHksm2Pl4
Rz/2Qz5bLc44SH6dH3g73GScOcPY2BeMbh418D1uzDDwTVkLblWeRaQPnKD3azaUw04xF88pKTXO
gpRCxZkqjxAOgrsm6Zp7Gej0FIFK4AqPURCws/T4yK1vFhzjtg8m3W5VttDG6c5hDfpfeMWSJBHZ
tIv6waH3zSu/nboMtqMTZO9ZOxFQirEMP4NeCg4O7qsL2O/kB0mR/s6xGbqg02KGBSGQsSIlxcP/
Fbv8/0NFDkv9MsXM/7UT/tJ9dT+j76aZ/oSU/fWP/R1SJuhrkKakmdllDvvvNnjnL460kQ0cZTni
//wvf7PB45CnwdPn1cRRz3yanoO/GeHNv2Aiscj22tjJCWBY/x0n/H9qclA2oBFlElVaQpDeYk//
o0/BqQBSdVVXbw3PeQ+wdHKa4SYXdoSjBi7zad2Nu9B3b6rC/vnHJ/VPzO+Y/MF+T2FZLNXbiwf/
P/5oyir+/NFLgV+amrreUpjVwURnqhMxTqnS4HOoCRP+658m/pPRXpiuZUPrdEwlpRB8DX/+OGZa
iWpJEO36JJWnsA5a1hKqyUZPpDtKg95MCrD2fNP1Nss6iJJu76Lvmc6mV91bXxZMLuYlSpReQPvc
OsxocLk6UGCC17oOBB9Vi7uqTM4Wm+P2X//21j/59X32Z89xJc8KD9Q/VG6IhnAe9ilMC9SAHVyb
zocVkWyYYz1+cqOdHSAYk4d+aI8Xv0viRxk492Jckm0C46fZ1W/pDJoDYsS7IYsbLAN7UaafIYVh
OKLjY1tDqR8H/l2RD4jX3kyx3+Dt0ZIIi3lTfQxrYT4ZdJfCms2ohjKyDekq4swUQpjrhI6Z3omu
0uESMw2fJPxWKWR04osb7lLtOozTBzdKrxWkf1l/TY2E0TWufozxOO9xk0yblv6527LxMfpbVYov
oOuOIkJixGyecarjLzMW9otsLHsvaIh4Uqn5QHYTWcnnJ3Maz26AdE8faPDuHk7tuCff1ZxJZANu
BSjgrnAnNxtpdfE9buxhRed4faA/KNw50GQ3jhH4J2kMwY3npTPNwInmIB3Iw5xrwo669H7YJit9
CEDo3nPwDnd+FcITUogzacDMf4jEZ+XMHOq61jz11nkQ0XA3mDRQcBbVeofVrtw5SsyngoZyLvLz
WvaFtTPYtb/iOPmKQ0wMAGB9Auxkw6SyHgyNGlJOtOOl2XvsRada+s9hrxAd+GocPTUAG/gDFXOv
w5AHySbLdX1reWI7duUT5Nbi5l8/kGIpWvnz7fUcUy6vsOSRFAgA/5Cg8UMuzuThrG2XZQVoOGcu
0W/qFosUsbNqr1i6ntDOxhs8bsaPKHAsaDlLTDSI6/LGwyoxCi4TfVCcsX573/TeTY92amZ77QR6
rfxFfLHL9FXXXXfr4hP89fuv8P/pm09T9f1v//PjK4+LTazbJv7Z/rk7kTOSLH7/9ab23LYfzf/4
J/DNv/7Jv8e7oDoK0/SUUstGxYr013iXS0ORzc5Fwerv6iKenb/ua7b5F9YvRXDgb7vX3/c1Yf/F
I6bCn/R9aUlTif/OvvaP6E2GnQ5FR/A3eR2FZS+P7x/7GgwEX3Fh6PdEx/1HTsXTPVUpGEFtP24+
ofGk58GEzbP+44P6J3uapeTy4P/5YliARaHl81p4loBF/w8/mYAK6V2HEg8lu2AXN7ZTfeRiIA8d
9xZ24Q6NjmqEZujesiqh6Zq6daYCnpsxqqRtzFR7M6sssdaNnb0HdYBbc7LQD6U1kZTxGrtem5ri
0DUzON0dBjhacLg6SmGQQFok9opOo097QH9uwTDthQ0NIZf5+DGVwn/JTdKwTEH7/gFWAhtg2jKc
jqOM27BXBYsQY4luYWXHO8dCP/Ly/Cxj2JpDuJsWf72ei8+kxnDXYgWZKebd6KCkVbixbnQzJBBA
U/fVn1W9twMjuWlyog7ryJEEX4xQBc9GT+3Cdg4NSuLw465ptv12SyfdA5XA0JeIYwtqbjMM0cWL
OnfXj8iHdJqgCFnFSxwzKBmqEXjCIB57Bm3kvQV2NMowsZfSHASlkt4UG527GjbeCOlNYKbYhEPH
H2xqB4lLZWu6DYqVqhrsiKP4qIyMY48vz6ZDbUuUEVO3mz3Q0R2aGgMYENc076EMqYb+JId6BB2V
oJkDPdwPTVcjOsFtpbh52RpxoLQlux4+g26Nml2suxBGdDvE7jb1iAlphPw91bvsbqa2AN/bzlGa
gDGNXtSYSrvuxMCGwmp2k/UM22XdORAL0yAh11KF+Ql3m9r7ToZteMYzPpMo514D03ylrTCj9tWQ
X5XVh9DgTQMjpzLuGKSAmixrJt1zptNNIQGyk2aPEwxuAcipBKc05ULEAMMNYoz0Nyn34X472FJ/
AL/Ah1fNNt87mqT7zrTNuwWZZH0CTs6/SOYzxvPSyrFXbHjdNSzTGxOVlT6TxoyR8XyKBKb6HJrS
OOV2VZ1gwZb0jUBpAGPVML024X7O28YZ4nlNw6qhVvTZKIUPVpWXHCQf+Xm2kaUJJS0Y+pDMkPSW
m+vRsrObTOfWfrS4mO9TA00td+Abkp+W5gblbxZbHF5coGeX2a3ZUDoB0mHqH4TRTjsZRlN4CsMK
bmVt1u67bj0EpkCk8x0FsNgjGXkFVyIf5hFiH8qZqqlSnHmhjqk10BYToTMdyBXKp7LBW8ad3Isn
PszF1mRPcqAsRFUZ1/+yfwGESVeD57vDY6pGYZ9DQzbD1nMGahTBJVjfZc2MQWEJe0kxknb7Nrfk
r0INgU9HjJhgu+uac8gKj79x9VQ7EHqs53PKwAqOpyMaew03Az0AA330xNUXXmZcG+emMq1dxX+A
L4Wxe+1mpxj4/XJ8X7NxH8jpS4Xpp86jG6tP9pVpSCaVBCzyXmQHSOL2vZI462vZ3cRtCooEA++N
31JQMVsGoBaz0pt8NtpDUtV3BRiVC+zQryi1UAhLRIsA++bB5Nh9W7huysiev5E75dUuBIB7iQKj
3ZM78BCIRrEFUll+zqoBo58b6s5kbEOmdQqGG27O4688D2h6jQcRn/2I1D8PsCdAtxcTM91mcqxP
NxniE3Si7Oy7GNi51GNr0VYLm9DCtfpdlzAM45VbTtTo0CPAe2m8YZlHsifkUXBr4/Y+IRoWfffg
2xYjvSgOvA1adn+au/m7AhiSrHUp5S5aSld9Mbm3vU1AUKazvfKhOGyHPIyPZRvlF8O0Ak5rdmev
zXIIrhzLUvupNwhnrahPaY9pSE9ba+TdnR6WyGNU1iUDiHa69xpC/FNbCkjuNu1Iaycgtgt+5NPr
E5LKheMdbG+BLtJ/s8Ynz6cxCvHsZUB+HL7HVT6CMZtGHuBwSO8Wo9F6CIMDzVb0UuRgmbLIva2E
ik6dcn6xO8V3VLdV+wyiMeVVPCn6yNGVBDKCYbjFB4HkEuvQKjbGVDdfhJgZh4RpY964qtAUymFe
ht5J1A4qrdOHt2PUX+k5SV/buEm3mWt737SldMSn7JHub16YvVP3Xn+oKoWw1ve9d1e3af7i8j2t
ewYeqCMBrOpeSQIjdfA5ZZklHyGzsMy2cxFB1WxtE05IoxpKcjkdLGmlECplhaAexjNpkM78rCKH
E3iu532GRfbsxv5mycIYzBzzdTRqUPqpTm13M/ToA/s473AXgMX2LKY/8GyHVOBbDSyyza52h5F6
hEassn6oL5NXPAT4npBdY8yLVW5cslYGd6Mx1PyfBmuGrjsTbC9hGIalog7JAofHnJAj8wbZQKdh
Z3KafmWncchfIbr1e/OrdsefE+v7cdAYbD1TTMd4pp3ZGGuxzOAhKodLN5nIbiovG7dz1zh7r0eg
CzAwQ0ci9gQoSZ4TJ3wJbR9gXEvWZVgCewMT29XQStBkuTFH13yspm2ZkCsfgi1zU2vXTp24IaOC
28ForZVpuPHXGC6Gq65vbzPt0QLF3GVVjsxPJk1KJtRBs6/ciTRCZg04SBnFa4s+sn6cn4OMsIbI
y2qbKz7YDLT3ben1UOt09cxYwHiCbNkcWh8DNEcNgiiqafclxZB7ViDvHDpVuPXSRm3NDsugU0h1
UAn1c1HiX7Qx8frmQt6PfO/mkGk4YE0/yj2eUFyNWPNoWiZYbNsNZc46ls6Z4wKDNkQY1HKsfbtO
x/qi4srfJlarvW2J4P7uu9DUXSxIZ9PP0l+gMdTRYMs5WngqX5OKxBjYu7LfDQ6WnbXEWb0JXTP4
ZUZzd1DO5K2TNmMYxTYb7GmQIPlSxlZ0Ae/MzpmGvXlSoeTCKhL7w7ea+qY3xXif+6TfV0s7O97R
TqgTjnUqLvs+wS4vuvgR6d85m15vPYE2DL4zHcz9UluS772GGzcLkxUck9Z0ThDaKNeax8TfhrYR
n3hVNFS5kDv8vsQhvc9NYb1w44NU50jaLvLF8xWJDFA5PdX9OlO+W/IlFFjUPc94Eq5KDnGkp3My
JvO+MKf+TTrAGjswJrTjcny4A1GrKebpfK7PpplyQ47s+QnP7PRNFDrnNcVGeW1cv7/6gDqppo2h
kXO07dYDR/tdEqT6xUNfuAuwhp2iALF+Ej0+gZmZEKopPJG3WNJHmec05Tm4HZ76IZeHvoj7B2hk
LadJFVxs7u63meVZuM88983IsEzWeIrfbBkcdQmOFKzQXePB8xNeiC2gBghPOXqKM2oVR8xPWPEs
EkNzfIOSBrXAbZp9CWOcbpcgHtduzc1i1ZFkw0DEvQF0EQXDd4HvRnsfzutKgDVcC0btV5Jb89Gt
+A0Kr7CebdWDWSqb1sbjNNDUPRuIYxe2CPa3Dn1mYgGjI5NoULzOMq03PpzmnbIZS/pK1vgqsEm6
mf/B3MiCJoQJIPaKaS+QvHZ1XUVfHFrI6qiqjbG9IJysunEq9rmzmJLqXr/z0s5Xw9ecNp0RV2TD
D/EMU2wT3JVbJy/DtQIMeCnHRtwN2uzhO9iISw/TGNfZo6GG0N201UxUG9uo768DC9D+qi2Wsjsp
eizmbkd4HdNkb+wdSqmuuRzCp5H0BFp5Kvb+pMJyCzkx3HeNqR+qSVjvXenLJ/KQOHCmRvhvHfz6
GfhPXDyGuRF9jYNKToYiSF5LARUK6FLM11Gp8WpyQP3GUTCfgEXY3gpUZ32dGou1YoZ2wYFNMyqO
nLYO98x9WbIb2hpfFV/3Rxq48tlRpmqePIK57R14YmlTpTngMl+Elm2Yg8LrbSwDRBlDmB1+HgIY
xJU7xcfK4iHcdKERJJzbQTm0+aTIp6W8vZLKKovAVB+egV/7BEPsuroLGzeKNoMBa4+uRtfifcdj
g+m6Co912dnvGROCfWH51QvTnO5DcCVa17Kqr40DNtRgyD9melNpzzszBrA3Ic8hmpgyPxI3Gn6E
hZ/gxnbil2TujTerKh3YEP4k31U8jae+HZBFfa+8F7OtHkJKNcKVFY7BQeKWAbiWHjlRRzejkMOB
Mdd86PgIP3o37CGfGuoimUjtcsPdW23p0iybTKdWCYuBf5dcC2nIW7+1O9BPfmtaa1rHcVcg5kE/
y6bgXDaguiX6220YeT+6MPoy+nx8wPUUgHeqGxL9NvySlVa9/6tboOsRxrmdFCrc9MhrL43nd69D
wpuTGUX7muBw2YDwtG9R2MpTTDEb5GX5K5QRDX1V619rjrOXDGwkp6u4+iaHAqsvHMShgJ/whAmt
Pc2haW6tuR3AaJPp0kYa3Wm8rJdybuwtHgBNN6JVEfAK5ICBP6yOtKtHcLw1aRUmqBXW3aG6dNxJ
P+tJyIcoL1pKcikOxare3PeMTI+lW7925kiKCxl64niQ2912LH1v3QyUwaddO39EdNqvrLEzoVHa
nIHaBLhSVIrbvkfFwE/rv0GdCH4EMWu+Q1XWkW21vyLETz+YqsG8b0G2z0yVbhl5p48tpzzSMBTS
72aAhCdbyuo2oH/yudes925Vdj9ieuqgBrTxxwQn3KGkjSs1wAL31nO5rK2Yq8nvmF1lE/Uxba8+
e4o3LO3qE3csel8BGUQJNoA+eMnQSU9OFSQvdJRwQY1Uzk2QZIhHGxFlm9A6XN8Up4Dg0Mbou+xp
nCoBHDUvfslhjGqqOAvxtITh7sycPW81FYH95YUpN6yuyZuzGWoYdnNAlZbBg2ZtIYIzzWvbtHvt
MJiAdjdk9dqOVe1z7xqtR6g11ZPbCP2RGBHaipsCaNmMfl2QnciCj4E6PwAPIevLWZeNusysfi9z
Qw/mTUJLHkFYlctml9Cu+BG2A/crp4vtz14V6qUU2Gwwtpcf42BVGxGY7iuOYnIvAAdvQk5qGKZY
O/iFwK6mhZftYpiBV7qfrK3FJPjAJ6nvG0v3t3Patx9d3vVnq6/jlabSc0t9SHaYOhtYV6RLgg8s
GGUYV2+Na8a7MM2Nq5Ph9UtykoGWu25Z4st1UZYFvZ21Gu98gx7tA9ldSsTg/03YG0PrpeC2wcg4
HeNfvSm9nd8QNJkShucUfA3I1yVem9eUOyQtSrFz0IyiI5r7hpAzgaS1hIu/lvmOUwDdUxgo34Uf
46pJCh6g2Jr5HQxdXifyNyNCUFi8yJzcQxpDPQU2WnzMTTD9KjmDHqGzswwFxrwhYFluHDAAezXG
n+RBlsoQmITu9AFejIkBWzNNB3it8DqDXO79FxaZ8jQ1+tEMBrEPiVmeqZ/2+DZLA7k+c+h9WWKB
FbHJzru2sZb3gR3kN2YohbGyJW0SmL/So9MWaNOyUMd4nHgcDES/05w3XbnJoN+yTeU7HI31xqfi
g61K86bByMX24d3GJHiJpvlAJxeWLn7e8LP6DdhNizLnz0PdVZHp3PbcoHaKxthrMrkXykysPXvz
ABWCUA4JYgC+neEM+8zwJZxSu7l3wPwumtA7tHhyLPTEWDaNuEVyz8mOvLfJenVLpgAg7KAdBst+
JENITFw8YdjNEv1tbjf2GGUvZuZmhGmGRj1wNMiAxUZpAL+WUXGLA+DQyohel8yON7YGcO4FE+9l
FvirNqOcc9fO7QLY7LCoS0LtIEU7wTAsBKGsm4rWggWwnBA/YQAeUfWoZe882HGHk5Gfti4Zm10i
y7RvzWphNgd+6Z47WFkgziE6i3jS56o1q3MsY++qLAISBQ6TcCOg5r/BUm7vEdeYkju25kjjLejo
ujemYTXLiqoKOdH5WM+bVgCbphTH/DLmMD32wRw8KlamlXI7vAXwWmj+mkmRhEkX7hrHnO99jfoW
CXcB8Se5dzsuEOzZGE0evRogUmTYxUGVw/wx9ku1gEMOQDk1q+BY6hq9ETNDhXgFVMWAws2dQLws
LbvlxjR7zlyYv20g3t1C8w4hpXPdY+IJc/iZ7AWE3IX+bU05Tk2w0+M2GbPxwQ1Etq4nzziCp6hO
xkIRB9Vd/zAXsrixMMZ1nsQsxvrAdX1PNre+pxkcyFmKYZg2NzZS/qtzBAuR30BOHnZ2xna6KX4z
zacFb07chXectBfMZG8K9l1aNxYbj+jvrMzXL6ThrBdGxOEm6ybsRShXS/mtSsipZRRtrOQQV0+p
5jC+ix1NIeb8m8NuwG4oz+QhBZJsVZK8yxE/6AtJQ+OV2gJ98qBDoj1ziIanHyU4Wn7D30uXQsrI
nSFagj1D7J0d5QwbzG7dr8TN5/3cgZRPxayu3m/OvFtkRr1NEqWynfMbUZ/UVOCtMniidML7nn3V
GJXT9eDHtGCnJGdfO2knn/1v/r3vDaY8jhqGGcxOKZ9iORdvtR0MeyMpcEkBT6SR1IGe3/8G6YuF
qV8NCHF2L/N7tpt3Z6HuBx4DbQsC3Q+jpLWnmiDBxLZrn7Qn8pcEgEvFjHWsd52KxHYqLFIoU3vk
U5i32qzGO2ycLtBbaiUe25aIMx28M5A6hQsKs8nFnhQSQzJ41U3YzWSI25r2AFQDBQmlIGqFaZLR
gTGOhtwY7tAc0JDxzjQhOcrYU2wQSKjTbZtLd9tFD3EFR2kTQm15StuguAnJqFI1hN1SLL0GgWAn
OGi2GRDDICE/vSihCiGiY0evxjInEIjq7Dx4FW7YVTVMmb+J3Wmp0LZRajd9SR3uxrbpCGAbEZdM
+u0DfQTzK8L58GCorgAkR0FDXEi9b3VlP9uYVu/tqpXb2DPolSyXUgedOcm97jJqhMoBSG4LH+c9
HlV2xvvZXxpDEDfHthPBavYoN+IryPhnhKPiboo5Za1b1+jfiLQAxVAcrncRTbIQC+LxnuQGo21X
puDuUj6IhzJpZmMdUh4J4jWiGDuWlvUYBgi9cJEpRUpilxHr0osBNpCKDKfAGwj3hovUSIHOXUN2
91qHpXkVRN7vJ8PB1DYxAX2fRy8m47qUcPS1p25NbZjIOIVOikPcEhdQkS/OcU3aDA97TIkK9rKQ
EU2SuyfiYMFPPK/zR/W782OIOLDRuEiuYdPPEeiYyeYaBwYue+VpgzNVZDE7AarneK9NO/g5GO2y
wPESEcbNXl3XFkcbhMWtKQr3FC1lJGGd6zNrOxuQ9s0vLbGNbXzYJ/uhMuhQWApNRkW1yRgm9Y0c
2v442xSf6E7GmAaWNpTB82t3Vbfj+K2SIN80WbfhDkGOtlVtcSgk2W+HdRu0QZk9yrF3TgDd4Pmk
U/dVwP6u1rOa5L7CGXxIJBAKIhN5/WFVpqY1pHPLK1ck1G9CL89pb3sPJDayn3Pluo+zaPhHwzqk
6XN9C1simw08CMYdsasNoILUC3R8ho/F0iLDDpR75JsG/4keM6gJAEXh6cGTgCXn6mtZLqn8mbWF
VFQnoaWYbXvJbTc7VyDenixQjEuzrXtRY4GaQK9z92NGVls25F7ceh2z/wALOSb6YsiudKmnCZ7M
RFSPtEPPD2PKiC3icHNjLsU5DLeKY2Za0VULUoQiHR2axmquGnTnbJvGinBcD8E9eA2Fi6wM73m7
jc9xKeXhv75FuNe34CHGD67M3h1hw/kyQQWheGWTpxhV66j01iLxp1vVTtR7DZTANqVb4uMgikc1
9TZVmcPOiHR5bLXpJCt7GONtIkz1ZFPOufJpEop+dwrJjPd61Ria+iaur0xo6PoBkJIHoDSoI3Kj
Ul0C0ySzLW2iQGBo2LB5lck2eR27HMbw6hT3xN7oqgj1e5iOzQ3T1Z/l7zKkqtXOfRQKFy5GKR9G
5IwfBb4mDCYgVlquu4xvoo6naTDDA6tqcKHOh4IfE00hbTrxi7ZkAsyEcv43e2eyGzmSbulXueg9
AzTSSBob6MX12V0u1xiSIjaEQlJwHowz+fT9MTKrKiLrdmbVugsooBLIlFw+mf3DOd/pMACWDZg/
xu41bmIHGBvEMCu86gyveMZdMFF0+pQsERPOVFhDvJJsW0qs4tUT+9QWFawot5FGhjOCVtqYCBa3
KJ9VuTdt0mIKJJwsrVpypYBQNtfsDrtttkRP9UsIFQ4lXKxc919Mckpw73eZMtap2funLnAoZL2E
vZU9d3QwWOwHpJANo5wl60qxzWHcWzmvlSMR2UZZaxwDgolWkhkJlh3mGNct1F1r7Xu6Ii2kiR6c
gp0PKjLiHr1RvpcDkM2YsvVRj11Xr9x0XM5/siTPLtjsEssGuV06ZX+JMZumhxEppckMoYKTKuEw
7jvlsYch1YGLJm2ja4JjzG+ZvcSFDVWAwbjGk0uTRpRYsHDpeVJwGLmDQRNUdn+cnDbk5lqCyerG
ISWRoO+iwnCQTc+a7Hb2NmSaWVbFnV/ohc8M6CcgmNcygk3rxfM1MbOc3u2Skub5BNGimc1tXEeT
9+abCeBt12Tjt0rHktvK+hG8JrAoXao8jogob21IGMmPmLYcOTEcILez9dkf4Uas0yXgDXhY6ZMm
J8XnrK/Zo1hFejX2HuLsNjCMI0P2HMt6TeoUfwZfOhzBsfWZna2drQYWot46X5Lm9JI5V7FBvePy
onb5EUkXEIDWHIlQEOnGs+bxhXmztcVMazyGS3eVq3bedSRZEm3CfnA7EIpNHFNm4jntrfd0MU+1
jPt2BvQvsmlE1wc7BxUBmEQ/v5pzU5wIbASRZrLxtsUyJM+jkhDN2toq5Qq+Wb2Fcnm4A2x4a0fN
QHfdvHQU4acpKLIjRkZj25Ifthkm3X+IyoGcSDlxsZbTOZzRmXmeWZyNvrJIheGf5sTB6ClwTL2Y
ho4vTRil1xhV4dq2ZqTWeuybeG077UvUVTNZfH1xBvesWKMLY4t7Ij9mwjPfsgpTWFip+px3ZXQT
AKOr4T4OmEeyYX4DohUdQuF7R7IbBgBXIWNitLzO7j/aoH+J/IyixyKr9ifVy+a1ff2vjx8/fHnN
ERZtPrIo/llQJP7+Q78pgzzvk01SNzof5XLi8f9/Vwa5n5SQzH899Dk/pEF/VwZZ6pNC9OX4CPB+
qH/Q1fyueOVfSXMRw5qLHJff+G8pg/w/CnRMhSKIyl0gXsNXoHiyP0uD4sKpQFFZeh/XpI6t9KDb
x64Ph5eob/sbexweO6M27gu7XRSpWVRdAQwOV04l0Fc7Q5J9AU3Vv+ICio9B6nfbIqPknpfBnpBt
i8w7diiMzPGeX0/ZtkwBwzjPPmhJvrHXddGrA3DWCV4YbjPCyvwheNTY1xdQS/NslzIHUuKSJwUZ
ijCVFMVpCYCqJOEqW4aRo+0OT3bimsCNSdoOI58BNLLQBw6tFzJZ5BovVAmMBp6uaxjDHvshbkrL
okNclITdpB/Q2kTbaDm/qLD9+2o00k3XtfpB5tLYNnBUt5CxwfzUwFnjIMXzaLLosqaRyQ+S/u8+
XoJzb4fRN+XmgPqRq3/rCtU8JriUQP8Fbr+SLgkJsieJfpMQIytWQEXEV2hOeGWl021NrfzzgJUI
yOPcYQBuqBW/2nSx1aLolGhuZG9+gWqI4zGoUKWqEPrPqu6da6fFPgf9IVVPysgamPcCB6mtwJLQ
Apdko/znSPhXjgQLGd2fHQf/3TSv+c/HwW8/8NtR4LufGDdZfMnQDrrcxX8XCSr/k+fwTfcQY8MU
/PFvfhcJWt4nSkeHU9zlh4WyOT/+dhTIT8ICAc8lhWze9lDn/xsYeFcsYrx/iPWU9NEb8kh83X2E
1bb4g4q1jLzBjIzGPgQR98kKwVKEopV8HzrCEtgwVpI5u1VxEEVr37dVsQbN1+LUbpNFK9B6DGsY
GHk1OrhWkK1i0gTaudNRGxpdEMMvl8DP/brfWkLIjwnxCdtcnGwn6WQdyqeO+G/p9/HRJaUxoX+8
lYTE3fmQFS4hADEM1kbB5sWPj00YjNdMrB6UrBDIeuCEzUrUmxKQ6jWsyx15mZtEDsnWce2Tl+fM
8mnp53qY1+Bpi5W1mHLmWpVobtJ5g+we4rQDYLDU/jUJvuLSG024l3P0lSDm+GqySEFNwHsCAW78
XenY76yfEJr3zRskVLVPK4b/1OYz+8RgOsLibO9m3x9OKQ3ru68ZQS55GadCtK/eaCiU1iZD846a
b/B5TBW7H0HviUurx/e5A45mMmldycS4uDSOZTJ/w4t+NNhotXnwPGr7Cof4WWLnRJRwysl2Yv4L
J9jTxpss1bALRvs9y6p9Q4LwKnUnBC5Tuab5fgx9gClAYWYU9OA287AkQFUkzxn9P9Hg3gsRzeek
ptZVKD+aoV7H3Yg5IaRIUZ3BAH5o6pWlxSnPywnVikSqBKGgy9pbhuJ1uJqpQrcSbv9hqOS3aUAe
TyiFecdOzbqZOgeyKoLAr3nDEnhVun34ZgUuQ2gIYrfk72AqEoN8q+vO2GedVjc5O8Ure3Sn77Xf
Eq+DTFDj3B4RelX5cK6j9MYUFbko9QAib6rQmIVGuMob5txOnLXvVdqhmVQADLV/Srs2X4uQ/LDV
bNT2DYbVAEGNuk1Lz98M7nyvovIu9cy9EQ4eC494ODooNZlBtEvYSxpYt9DCNVLv6Y0hzLjj2P3K
vqq/xplwNKwl2ay3mvTe8zpA8dA4r0Z0CZz5sEyTaoCpZc/rEgvGVZt6N8KQzn0bNo04e16QLIlY
hdCbYjJiMGUyzRFR5vhf16zqQ4CAfuYC7e95spusksuQ1O1wt4H7ybOtnIMcRk+cuDxhI7HInlHM
aBKbeGAQ3jajp8ydiXfsetJxGM2OdbhlvDaFICaj2IVSUQbehtCmAeBVIhgDUQ1H46oIycI8G5Lk
zUPH/rVFD8F0c4WHJK6eId3WMaSpgoodzYJaXMnm0lb3qsByRdzNBFwfGN9VoKNs2CnYooL+v67R
J1oaR2XqZEb5vUqR8/C40JJQB0WZvw6hspC3RZgQEoDAV+GWvpgLEpmIU+4j253Q2zjY/LctAIZo
F+SGat5Lq49Q+gj6hI0oJ9Y5pOY5X00rnJ6LgW+M3yYwbMJaTZuE0CK9InIhKg+BxToQgQIrtzX2
Slo/p8xIu8BSyIvlpQY3rtwyOw0/p4nJN6RVfBUYA65SUlMfGmD+H0OgSwnCj1QCeI2xSG/dMsmT
3dxJgvVyxtrhJUoL3n24CNE+7EfwzRYdDHl/rprtDUHnVbInGNATR7C7bfama8KQdr6Xgna0cloU
cu4EtkCf+FC61+jeL8gBhGTEA3ZVuoEJR0xnUTGpO04BOUErDYosQwPgGpb1FQFQRN6VbF+Houwk
aQGjvu5KUosYD87JMR/xHCrIJA57rJXpUsq03mPUji+qSMZNU+jpCyJNDW0qyu7sRHDsMW7dhUXR
Pkj2fbu+b9SX0NL4K+1Wzl9JKn8f3A6VrtkVT4FRb5jXbYyGljMHEXnl8ntpwVmKoyJB59Dn57bu
U3vvGwGvKCTZBYg7GFiCgaLgWMmQd0RjQBDVULXWpvRosbYkF2bDFaf2U9/K0SPzVLcPjAkz+z7I
NL1h5nlAfag8mSUUiIcmmDojO0KQvIdMEmXQm0QWPGSeYPXuQthZDXHeRBtVy/ixJma4/4oplqCx
WUAmwX0YN+5KsxEUcTodsPZ+G8GNIO7gsywo0UixtNDS7kTQLOrqpr9t2ym+kQaEr57xwrWyu7sp
7eQxiNzkji6iw5iNV9KYTQ++RDZ+QV9V3VWG6cfsmn3/saF1vpuCOs9ue+JKvxW24xzwzwzHoM89
YzV0Kn91g3jxyjDs9+DC3IztsuEHZau+hXg+n7MYfDixDQ7pFLXdBSlyVFt9V9msz9XUDd8DfJXM
eFlDZY+g2TF0eoSMLtucKNp6JTn23xmcA9xmaWxe0r53GQuSTZkPRrKPezr8nS+h5Z0F3TenAsnG
RuHXj2Woq3DdpEPxYXmq/N5DJX8ZtAX6meBff+M6OUUteAMk+Hih9I1Rgv8Ks8bIr0HmyUeouDo/
F9WoUriWpXSXHPY+2fq01i9eGdqIyxp/3CdVUFonV6TMeYy6v3NTSz2aZZGdixjuBXSSwPuMTt/5
OnfcIPHEqbry8il8cdl+3FmjCAnRmDIIheSubGik3EMAGGYrQkeA1bXaYy+tlJ2VxM3vdMMiLk+Z
0e1UXefkMRmTJCjEn5vPI339BRYA0n3CcGEtuGE2AzA1QM0veKRFC4WKi5msybS9M+cp2zLPKk9N
O3bWbrbtxrmrkz57yZuQD10ZhvYCE+4Dm426D+ie/EZ7hlrUtQGjRsuoceGa3H86hCJ31zuWQWax
C5jnjsUOIJmxTPDxGkBh1KqxF3FihY04xGeQhekqN1JE2rHCqb4Pa98Jz3FhuOhOi6G/E3AYw5Os
Zsc8D0kyQ5Fjr6fWFftsvxwrJjuJMXX3AaFv1VMAi34E4M7mNIE94hMbUKR85X34cYDIyYNIPaH2
Q6v9R8Lh3buEyoUpf8C578LRPBhytg++o8YN4aAIPBMrv7FnHOfgKxS79ggsFiJnFkZJM5/JRlPt
qoAUdBWDCyctEZ7fwAeir99G5TKvhotJ+WCbl2ZikBLXwb3JF35dN3GwbV30ag1jlxclOn1F6xV+
TmjD1mnDXI/1I3Fd0gkJMqG6KXiHS0CTk9LVGZc+mkHUI4l/ALuleFurlhzdAExke4sW1bxRjWeD
Wo7sz6wHRr3PYkSlRO3gkIH97dLiVkmSHw0V2J8n0ce8zdPkhVt/6rqH0aZzPopJ4ZK25vCda47D
MqgHZwQgHNnhIYvNYCvoP14rkfu06WZ2O9NQa0+M+wYxFk1kRU54MTtnYO5qU3TOlZ4d4C1W+xi6
cSrYuASMZJ35lQsjeQg9K3uvuqrf61QLvRtsI4XPWCNEopXR76gWKMFKJziGmTkcsj7ngqrGyGME
G5NzujUbW+607S0cBJuLYA+nLQyunYjImqYc4KQMIwkDqWzw7LRT+VY101urDbgTrYhzcohMy2En
aGdg7AE0JMlvbezb+L/Dj/L2t97mv4qOvNkYlfr/+V+Lq/bPOh56q5+nHza6VLMkveAoy0y3Kxt9
2omNafL4Uw/4Lz4MJi/kh5br4Q78w5Cln/OiDAJjOHpjjaGYEICE3bWW3l88ncW1++vTWd5fZkq2
SUdIP/fr0xG+YbUg+7rj3BXda7Lc8O4iBV+Fk8qiNVON+CNjJcbioc2tvzQVL6/WHx8ery1mGOXR
3f7xacZDmBpVjcZUktW6Q6DaPlgqd3fkSs18SJvsTmkwm6jPpi/pVGL1p5roTf9xprqQP8oMQq2z
pfAg09TYz+Pt6JXl0bU1CxHTDFkSJ3MLGcUY4uymqWuOqtJj6FMlUQm4yP8LX+c/PyE6YZNtn2/i
DnWdP7ikZ4jMXlZ21XGOmwYuIPvkCqJTPJhbsrZ87vgwU/bxzz8s//ygtumarE4VlamLLP/XN7Em
f0f2UAp40HA+2x5ylryFnxGe2CDr1z9/sF/Hf0vLz4MJk2mi4DfhBP/1wULftopM5e1xmGNj69TW
+5gau9wc2794Vv/8TcPSTxmCE5AhB5ufXx/Iyht0ljoujjEo1vZGiirg4mQ32B3+/BmJ/+H1w2tJ
F0mZaAHf/sObhhBOJs7sZAg7AK5EHSVF0I1RyCbRt7tNaiGf3PtzTJ9XRUNzkw6dLW/ZiKNSo+Tr
flR/FXaxDWzIYD6MP+rD+ket+Od/6j+9JoL5sm8iPEUrhQP4j3+pIcO2LlV8TKPI9I6V6trbsRxp
lv7txyGh0nEcf5kkwTb49bV3ddRoIAbRsQhoBjY15LUY1VqWnX48zn88xH/hIbZcvkY/vSX/tCS4
7Yrk9dsvY8HffuT3FYH7CZ8v8AtqZ4UYfvnK/24exgaseMfYQ0kPMMXy1v3NPGx9YlTHOesRque4
i+X8b2NBH5KGJUx+0PGwI5v/3obgxwrgH8c6+w8PERHfCt+SDv9b7NI/X5JhGNIrFlax77q+OdQi
7V6L2K0gHNrsyzKDLa6Gq50RfnoFkzlaOXkRHutRJcgCiGXoOBWeUOA774goC5TangEp3ZQbCzz3
lZEW0XaW+BtrxwlOBIshKBrnV7eTpMijtevQfrtjfmUYWDQhAQBXLYnkAQ94sYkGXPczdL5SvpPk
urZ7Jz+lDX5BK8+4dGwzHXe6gt+BLinexonHCtOJkd5rutaTPcviukqn+aYgcOMNfbS5Zo3jfpti
i91yJocbkCDGzpJGiF/fleGTZfbOumbVt5ZTF29qP0i/OnmXga3hUYGyhpDm4yXx3WS5K4GjPcu8
IR+lWJINXUIIdJHfVeycX9Mpgt+OsO041Gq8IYdA7YnBGYmMb0oxrtJy7G4jIn4PuHWKqxLLLsbe
xhnXboHBL0L6TJ1IAEI9jg9xYoeXJpLoTgPcQ0bu3Vqy6D+3vhl+6CyuX2J3kKQVsEbG3uLfxtzF
67H+YTyCYoSDxjri2HtKvF6TOBQL8APaOXa81leMG+NzH6niaYAdto9N015RyXGIhBTOWievAzL2
S4QsfgDPyoR5VQ5e/wAxIr94VfQRyEBBNUrxMHWufkFnH6wNJh9voJ+/o6pV88bzx+fIqkjVcE4d
VqYt7g1x1yuSN2KMnLeLGOWFDXB1FlMlr+y8to9dN2fvErUAXPSF0tpAscRjYxuXYq4WzIf0nbfK
6fS+UmF+bEZiHNOoHk65iQ1twIdywHYIPYq7+CgKw7rWk/cR1FfCerETHhn8nf9A41meMgcTyBwU
Htw7xisYtqeQLgUr0owhPc/J2CzTix/N3C3GPH22YPOSGU/KeShL/QxTbLpkE2VsaPbmebI0LgVI
dWt70Xl3GC9xcLuWf50P8GaJXaiagxnR3XVwnQiedr93g1SXtvParbY0fheGxAT2WSOpa2V2wYv0
GXgY6tvUYekWe+CZQHo8+inRabiAs1c0pwy4WMnHa8c1Aoiyodgmtdus9Dwhnobhth6nDlnyZOqN
25Umc8QYFA0Bqte5W04HS3fePkvM/JjP3g1LtH1OIAxc3xnFvAokmEUSaVp3hYSz2s8hxitWYQQe
QJWaoGNZ5TcnmvZCMkYNnVGtqs5M7ypwZLtqCaRPWbAhRZQ7V5CqTZNZXCnLVF9SBMfUCmZB6xnr
4d4tqi/Szb8Vc7h15ubcFN4bdm5k6UGqDpVRyx0pIAGHz/Ib81ohhxZDhl/7fmjkvRIYLvKsbjco
biccY+gCyQsi+DCmXRzj/N12yksdz6wLWxilonON+9Ktumc87piuRTrv69Q1b0gMaKFoF+LKZOR3
Kml2tl1beR+tSoOdW2K5qDubL5PpiW1AvfFgexav6igtDg9/XDdImNalU6JvmDNwjAKKPAVuNT6H
MAePNsqPbZailALmU55GD50O0dqEXZXJdEzJGULDBgvm2MzhvA+oVW5VODu70LOJNlwQv6RcUWTX
vNtT6pBqg1FqJYyo3ae+xgEVeOWKUQ/km84B5cd+8luVCCwGpMxMzN5wp+RmO56WyLxnPGzzui/T
6tz6Q38y9UjAQDaoA/qg4tvgFO3VEFnwiv3UvOdLXiHwXKI2QcqAERtZOnx249JDrDGRq5IWYwf8
REYKcQQHHzBqZe+SPlnE5m74TjTgZ6ANBMpg6Dcy1Gq8EIznSm/DheG89IVx1zUDIkaeOc4ipnDF
uu4nh8WDcpOXOsxh2WYqWTwY7a4sE7UJ6syfyJlwnK1dRw14xY7vfzs56yYWMRRbx7xtPAK+TFZR
UeivDWRSmD28M3JxxLJ2FK5TaGzJXDJ79dVDMffjlcNyWiJ1lO0DJn2kQN3wDtYgPQwl7MUg6K+j
Ir5LbFeS12eMu1lBcYwb/CYtiuk9k7cKuj4nuAO+dD0Gtt52OcQcP2zvot77DKYDiHnPL1iLtAKn
nHBsrMIgT5xDj+YdV6gM1ibmE6waNXvpZl7NqGO/xuyM702XNTm/HTxafwj68EtLbz1m8SNt3MXC
3F0iU1sTe0hWbcuEA4gCKIuxIdHJMJPTWKby6CWuhsVhy2cn9+0vDZOITYw0CWNCfCjaoHoIM6Pe
TxrFFuT+Hh9iHhXVyzh74ZV2p/aGoVp1VRpe+5H7klw+h5wJXUyAitK82DVAvzbe3Pj3jQvJPh+7
LTPQF1iQlyDBPjkk80XkISikyOKaBWoRMIWFxwoI3NywLAlgtJsnQ2sg93ZztkcSA8Hp4MBoBesz
ew8wf18jpkAVnADANdI83eBmOtb5sBpHNMOWxIvDf/UhmomtA5GKvIpZY9UPdjgwD1UfJL0M32nA
ggv+OIXJ0bGQctWq2PdD3JKEXA7tK1ks9Ucym2pTYXy8BW3C+n1iisX1lvTzY85q5DGlDTE2/pLY
uB6yGNdgb7abqSLQyJiYMzttzqw+tiaT1DZSBCE4M7/RRbMarAn1glWIzazYRXYDdvuJ3JkH7Fjj
MYdMn+/dcAIEj4rpkZwzLmk2Z+A/SeHLlfE0xQRaVCUlSmhWH1k1jo8Vk3GcKLBsAcZzexO9498B
bH4avf62LHrSsYrogkl952I2W2Fce2EC9LkGAbVikWTfAb4pd4UPSoxrz78ughzy1YSX4iVxYNWW
lBWhk74xBtujPz+Q93TVEmYxEHHLsJEcts0scxzZqU0kYYgPIWsSHNeY0iEMHEqnu50IXErN6I0L
7Wmo+/fGkZgUBwRsYah3oZAMCpOKz+40C+5dqjCwlmTseIQGzdN11UhzHTS53ICe0JfAiXaZQ8bt
ZhgJRMIO0oGtxvLGjm7Aa9gkrI0d037k+FXnaYYJsmp7Q24p4YujEFSdMrqYZRpfGWNjbOJ+sA96
bsw7qrjpoUyyeSchEt4KxeIoT94li2s+1LK76nij14R8X8OLLk9GxGayWdi9DqLGjVnZPnBTaLxs
5keS8HpzXdbGazK51WHSWXYeiCjigNBsucgDXunGHTflHDnnZgjELeW3Pimvtw5VOYQnKO5XOY74
L10yek/kVakNIWSRvSIza1h5bavua62qGz8QYj8k5avKgLQ6BEFsB24fDL3uURt4yph+vmi3fsU1
5Wxiq5UkLIHjaPGkBKYwnp04Vy8FQ/9trCPjcyHrTe4uFDBnirs1sEjjA0l4vqWidO+GaQoJKi5M
Z+XndXNydZodWq0PtBbuwR5alxc1D8+s36tbT3FJhQx27bbonquo1WcnVvWXMi4Xqapmcl272uDg
sSOW2mnDikXXi1s/QImfByAdCDB3vdTHxyudfUVu5mfWEPrOZANCSoQO7u26svEW4FekBhvuSS4o
CG2DamMDKF0ZjjPdWwaeZ/CX2XsJmWCvQWB/96sq2I8stuF3U0FXXiLPzOWwSs0op19jK47OTo8M
ECyPsq5Kc4ofQPGC1zBcHT81ZsaVkYEHsbogxEtiIjC3c/MiPMSEyK9sLEJNs4T6CVQCRfgVcbiA
wOJZ+GKH/F3qzr8YAK2fJiHwcbWDu3Ltrvni0+nfpzrJHsphtE6DUporT2D+xkHpris6AcilGKSb
Zrlci+iuSXA+1k5EwdY0T10UyINBFDopPX2wdgddgJVpm6sl5mw7B8EHGP2auJGKuKsim5Z5rx3s
YOmpL2KsobcUuX0PF6khqUQAuGkwXYMDcHBqOs5XWlZyBfLQ/6jawCLUPBmP0YTV1g3j+NKLKD44
jCbXoAn1qbSJxMKr6O/QbyqxtuLb1BiKbRdSmavYh2duCBYLlp9crLm+yc3IWiH4bVa91+YnNZM7
s6os/0iOsX3G3Z1+54nqbQDn9ir1lmwOViwB5s/puxPMby15civFoG1dDSrciHpkIO4LFM89Y788
YzYeROGlT1MqR+FfW4tj04XmwTLLiZ9jI5kQs2VfwDcQsRcmEEQ6rJHOjMnDzNGVWA2LSZr8CCv4
hx6qPSJh/6ps/Wkb1IypKpgFT5iCDBtrGpPQiO/cJuvdFmsGNgYEyuIsKcHWGuXp55ACPqCX659C
0wGWpM2HZAqDnQx2agj2gj0xAZP9XUJutxcOHC4TJblp7oxQTJcJMemuDS3MVtN4g+XoGx/PEU5K
nly6sp83DqbBjW418g/m2vt6BuS4Ss2igtnCBzULSPSsE/emy6IvMwvAkPNzS7yVudQG8a7UBhCm
ykBZK6fggFEjI3A1ru/6imgCk4nUoW+wr5NNC7vbaYjF6cHx6j5XNwCRCaucPb0m8um69+BV8Vgm
A9CxI9MuY8i+idLEsljrB8BVZt96toihG0lPlpolfU9aabguK1K2KHxJVDunSg3QA/rhDA+Q+Dtl
jP0DubnFl5x1v7uyIxG8sdiYDcIrPJj6BEARUGf2yV1eC+N+lNhV82MNwZh9f2S2lJlOfynJqL4k
bSK+cgPWl8rIaHNBa69JGtHoxGMxhmth4NUnrfrJEp3Ek0ffAnd/oj/NyRE+QvQWexeyxd6rQve+
LsZ0ydTpjs6ic7RHKfddb9VvUFx8c+PCUvmCsrF9G3O2iU1V8WVk93rgpfERVghiu/kjDz6QtRVs
GOAHZUNejlXLF3rp4alHIvLQ6kFeSMlDPCEKgndcs76xeU/vMEHxx8yqfQqt4aPKEqTY8RyfIrMX
N5Pgn9A2+WtGvawf8fixLSsMgdvCFducsTUtB9uFaTLORoI9MM1kuPMoLDAzaQPXmUA3b2G9p0xP
+Nqale89eNlobH2ocBTcZX5tkqli1bNam6HDidWH8QG9Vnrya9yfuFkfRzd9ravhGtYXKWxD/I5I
PTl6mn1qD+vJnEZdrezxuaH5UXyHPVtMxHRNX0tdGKc4iaL/71G/iJhN4bpM+v7fYMT/rrvi9S16
zf4nOOI/fsHv0kfvE7+PZQPIWeI3F57h7yNOX35agMACYhQsV5YEPOjfpI/qEznqLuIkwU940P7/
MeN0P7FfUmgfbdbuNsjNf0f6iMqfGeZPM04UmciwHdSXNixcZ1FS/jLjhF9Go2lFpJrGnNw4Rpv0
xmucDmswK3XW5WOXJQfugArbcFUDiIMp0mk0JyQlG0omW+SW9RG3meNeC6aOHS4ejit26038ZQaf
QyQTDrx6a+Rsckg6J6OcdYu5rQfSeC6lQ9QAq+6p+uJmaL82pYgxAc+FCKFihMBOthbP4KkZQrkT
LUJN8IT91pwGYu7AKH2r5ilNt4GWDHQM2qNsg6lIAQcf/OHOFyBwD2NZczFZozlZBz0m9R45AoEH
Rs/Q9pb1LLW3rCqEkpNDJnCBiPUONwfG8FRjyEeRMcDg14YGk2Or3PwexWYJGSYk+2sjwVrcFxQP
2d4nM/yFkFCr2ys80m+2a7S3FVHXAMXyYol9rQZSMjlKXzFNjkdWRvQSeeXGX5gCM2Bmg5/jYzDN
O4gm9WbILZe6GyeNTXiqi+evsDiwAc09gtWYXlB3Lxv/2YIKbpllfLCU1yVre2ZIs4IwkjvbqmHz
buViuB7G2WB2mFHHzTKeL8T/duLBqkubDA856XAnfQrx574t9HFicSK2mY9PCpAaSqb9NAogfquM
vU181E3jsNVfXhes1jMW5l2SeZF6bCL6H24smO6BW1UvVmOn22bqlxcrOnZttARyIAHk1zDI9KU+
qFTl040YRzRBuRdx1oae4ramZUa7MCDUEcGCXO5QKhGm9z2Z9ISMIqWDRH5+LA2sLUYFdrnWwtoF
XYNUgxv+AuktWuU2HqBplswFUzEBdnRGcEsh4+CN7XfeQ++PR0yMolqD9fNPRtYh3EwChGwqvACP
eLYqUIiMoM81nw8GPM47A89jgXV7GMOC8YwJaqPxcXkWOJ/tuS2uQ8suTu7CcYBuaBzdsSfw0gZu
SCi42sPfxAteVtDV9DkC+MfUXULNC9S1FGZzTf8pVvSe+kxL6vGuyugdkWO2V7LIn+PWKS69zcXO
vZisQ7+cUNlEdByo6m6IefFAXnTlvYc58MJ12qwloWfbmVUvboHIDD6H2fiAh51BV5uGR8RO80p7
Xn2qXBokFE/BhnbfgKyYfINLYz/oUuCHLwh48iCI7dwgk1tZkF5O7ylWPRdiLNruWqOq1NQPJo7r
yekecUvc9lW970cTuETnYLOuk6i9CaKsYRg3tUAwYqKX84SRiLXvNcPiqccPiIPK9AxyFqqPrqPq
HUS7cgIBJ464dGqLxrtpW75loTK6TcS/WTGUKF44ZCsOI/tR9nz+wQTSfwbvmYj2oiv8WwNm00eN
GBH6YHVV4fenO6G4RL2DiQCGoMcMr8tBSOjB4J2viN0zclKyobtxX2ddy9jJqfcBO5+VHbfeDuQj
oasRPvSiyTPE2eW4HjyPuc7kzC9oiMgwT4IZKZMEf8rc6FpF6TIjNIA9OuWDix+SyTr+MN/M+p01
1N5WMR/dphh271DkNFvhZaQiuflMLiUauc2UY7mgWKOR7cGjEL0EznQtlzkCVAoclGbAEgMYCw4v
bOoX30+rrUvi4NaPHAdxSf290kBHzU7p0+gG9i7CsLpthYzXKHHyW9K7XDgejXUiQi39VlZFscPu
CU82ZMh5K1uQC1lvqgOfBE5ChmbN1pm0eh58jNFVyjho9dO1evvbLfSzSEUsso1fLid2brZpQioW
yAJw6vx6ORkJASrDVHpHOniqJAg2/kkxTMFLV8hh7fTjRBSxC/ik6mxSRKfOOw65HYx/xfNdvAZ/
+EtYUUkWyS76fBbWfxCYsA/XI03weJyY0Cc9JhcomMN8V/XSb27+L3Vnths5km3ZX2ncdxZIGo2k
AX3rwWd3ySWFZsULoZBCnCfjzK/vxci6XZHKrIyqfmugUEBCEeFyDmbHztl7bR9+l3uTknstttmc
D7f9hGF65fpJS6BUb+MTdfpHzqVEq/STrcNdnlAWUHxLbMyunD1n4zSGfKpbO7tRKijOsyuyZ7+m
9QwihpU8H3pIlsVYcOzzo/qJ98bYjW0r7ux+MN50BI4j7VDmYkPtvFVUh/FzG4PDYw4Cd8mMeZr8
3nyCBqfpOUfjl7p06Y2whavtNJvphQMinU5RSboifp7rgRzBNQJfct7oYtKdGMW5y0J7zU6f7cSY
PduiNL9gmT15g4XYedntvGXfq35sgT0pZeyxQL2iLXu1vK1+7JeEfrN3etBLPqofO6rt1N47mBJS
yCXBNXT0rSdXmHXNpNKkzGYMCJ2/lR0t0NCPD3FHuIiKRLRA0MheWVsam8FaQRyIt5yXB8Ku+3R6
k4XmsGz2/nUy1Ia9ttoSf8eYL3bYWtl7AcqW3NBYuK/U+UtYnfKPRmA/hHLqjoCFQ3KPufDpPElC
FlGDkktCQ6IvO9WvfTy/57zu5NmlwbyGQkQ7PhrbaOsD2LhLSrKaE2to33AxuXd+5PXQLFDd6SqX
ewRhbG7LVgoPWRjfkN11YjsmAZDDqHC/oS8XVzaeqqvJoC6qOZJNaxYBeGWVQgR358omfZFEML9K
kBgdavmWsh9lPBcJyba8aucRUtjgkI3EX6lhAgWVW7yTLN7F20h24Qf9zLK++ev3Fa/K59fEMz0s
f7BlHejdBFT8/oXtFhutiMbuGEtpnSuDCNRyYDjXaPLTi9z0j7VP7xmE4ZJXooHnk1ECVJLOFg2i
YTxB36tZhmcjXNwWDNkwmAy3WtWEbDpssM8672kth7HAojaAka9sfG7hFA9b1wOTmAXXQzY0oGoH
q7+kE9m2VKJj8FYYrdhBc3SP6KLTL7iLRmpBuHHCte4qEV0XdnCD5Ni6DAN6eCwitGHDO95xAW5q
Ptcxm51rOGa/82KTLCcWegIbaSW6h4gstn7Vui1ndCsxD5jfsxsSTM0bUVoo5kuUk/cWDC7k7rBh
wrFDn1qKcmDRntLmisWlvvF1M8Io8MlxlhQlwypGV9dv5ZilJ2J0mdB1lgZYTY+xePdgkW5V6pMF
lklUlqpvHklrCzalSPo1ca3ZRuG1JQ0t84KXiHL0BUwSws0hL/WO+K1oz8yPcD1yID2K3aTdkem6
eOaXk63j0hiYpHYJ8M6T/j0PlArXWQexsoNgFW/GRk3JJrI1MeVe1yP8NHXwJehV9A1EcbBvvTDe
YlqgfZDaKXNh/EHkSvWnLPER/BKNdsWeNPNU+sNVlqjxIlWR8VUVDMj451o6B35xi4/DX+wNVf1g
MtBbtwicUdO1zOk4AkT05btgTQYrYGCvbl9624rvDZgbj3WSFwfSzs1oXfY1S9MIjnxuAIDp3BEX
KKegEXoMlBluLl3fyLvxIit5KEzCBJmTqyUlkCtzioXpZJgW3OASp5S5d7Hq816rRFxWeXmHxana
9ZkDD/LHTgSHy/niGjo8D/O4JGii9ycbTxStf0PGWidW1XL6sH4cRCwEzsTw/TigmMtZRVMOkAZX
LUeYoMk4zqh4StItmodvDEg57igOPvaPI1AjpNh19uA9MsDiiFTYhiGxNQ1MyGJWbzLW3LR6CUuc
Owc8eVZ4NdMwQb3HPvbudMOot2K0fXTxyzEtKVG8ryo98v8YXgUBsEzjjxrC2XYYpHVk8g7gqq/R
bcHOmtFutypJk0Piu0iqp5nYrI2OrfJCdILsifpHMTAudUEqrWfa7RKDWHifqvg51ssLYiccKbC/
QUWYiapW3q6yym75rZud5Ix9MUacLRqjlAdkKs1/JP7zfObOFBYsUiiOhCU+i/9MSrpUZNQVKpRX
oYLWoy+r/v+hOXImN7Bsyo/2fy9asreymnQcRu0Ps+I//+u+zPnf5z/yu7/R/P3HjxH3Lhqr3/0H
GGrYz1+673q6/Q7y5rd//R9/8t/94T+s3fe/yIyg+kFu9a9bI0/fm/Z/rYj1fc1+Fn2xhi5/7x8d
EfNvJtETqPC95Tb86Hv8JvryJZlGStA5VhYNE8SM/+yIeH+jnPVMhSZL2RAn+NH/qL4sVF94z332
nh/JOP9RR+RToecQsyQUujaeDjRmPzpBP2u+vEXwlFGN7HXUpTtcYoygkYhvyI3mES6mX6hDraWE
/anEXT6P0tZmueGK4GX+VFgmNoNvlJIwM1M8l6GdJt/hUNZfequotsg/hk0ezPCRO/5UA+y2B8uL
2Kd7BJOXYcG0BcSbwO83P922Pyu9P+3kP34v2zd9h7gqNkPaTL/rCy3kMyeZcvwJdva1Lfg9rAH1
GMvtgVHYSbEIMF0WbCZxNm6i6Sx1Z/4mq/w3RerI/rg2mHFt07Rd5N0Y/n/3O4Arc1Hjd/6+inEN
QAAOTmhYyvu//qp/cseR//oAhoTymGUuP/8pI8TjIgMBSXymtPIg0+HJJ/PigM66AgrQDL+4sDyn
n+83YwK+jUON6/Ag/f7TtK0tc0x8tVcFo+eRePQVqir7F5/ye3XzjyuneCMUuleTZ9j+9FThp7Pq
QQbeXhIBSSENDA9J1m2fx2//8cXDvY0NW/F9EAh++iBpzFzR5fEN0Mbhnkk+iG3A+SeKG3Rkv5Dz
/smdoiuKmFqBbDCl+enDxs4pS69xiHQSTLYzGBOrqAdrks/URWPiHv76u/2oVj+9m8rGeC4cVgTW
qU/3KrZIYdZeSMvMoEmj+xJKgReYtzQW3GOZR/hWAGnuIgg0h7lMlsF9HnyD4kjmcgFnGCyoJmEy
7zcihXiwMiVJM67wybAiBPSmJTe82hAJSyZGlxRwUXKYLytdzYtFeajJbGxn6LkygaFgJu4Xnef6
t03qX75inyv25R3DSI/Ajl6S/8fncSg4WDOw9vZhQUM3kYZ/nHpprr1ePhhTsSNLqmFSE354Iqog
tKT2PZ1Y/xeX+s+eV6z3nBqgu0jY4p/eimRyCtIL1Z7MNbB7DqkDpotkywQ8+dc39Y+fhNmf/cP2
hY///fM9jSowN2Bq/b2H6m09dj6z9DL/2kRQrv/6k3gy//jAQqxlokB33+E8+ePnPy0tdW4Jw7Mb
b4+1H5BWb8QHzYp/Y5vueOsaPAjUVfdQrvJtQrMd66pvojhC5zcsItjhoJoq209ooemnd9K964Bj
vUpq2gNI2jZbi7qb7lTTOpewAcuLlAC3faHRAKwqCstxl3Hz13VnkRWU44Y11YROMHJcqK6AwTl/
Y4TU9WL/1woiMxYAayVDjE3Y0ux6HeZWcO6iRF4X0hqZnUcNnsN+tCG1+fF1YObJK6Pb/OhAv9+a
GUZSVETonPraO6Z16z3HKI2vB3Jx0b+QNWEE9IfRWrhwHu3gbDE4hlhC0ySo8kVVpdew9MsV+t/q
3rE1HeSuqF79ELNxGNWFvYqmGiZbOZDNWfTTIr/JDrHZJneGWdXXvplT0o4egT+pHsFJj4Oon6ux
D84kZwSPEe6HPd1V/80dFuZJYIqX1EieiswG7ZIapXuRtAwEmbhdeXm0gfFJ9Wzkh6K3kE/hAbdv
sa+gghOR61+Yjmiu5x6uYNjWLlIlzVmH9ura75n2YboFtEKtnJ1wzoxQ49xsulSQTTGFpcB8N2BS
EWh3gJL2WT303ymZuCYQAi8jZGTIsjqL6Isg4JIJuwMB7jToaYv+kbYZnfFcVhhwA5yTj5RfE53S
QrUPfpY76IPh9KMiNNbalc5l3bv5tqxNrNNxSLoTB2y2fsYrqEVXCeJC3CE9vRU7VBp6Bffbbnou
HxwI+Rq46bAJubcsQr0Vb51KypeosqcLD+H8C8k0yJB9M42ue87uki5Tyuf4ndlgRw2akZXToWu2
SvNBPQ6NbLNHIYhZ6k0zeatlwnfwAskTr/qkueM0lRIeEw3VNqLEOeUI3Yn38D7mkEbYyuzowWzM
VgTJ3rerZMaC302XdprXp9mFULCJMzAyKCmBPQL/3tszBQ6TUDv/5grZq1VYEpGhHF0ftcq9lQjT
7tAH5nh2aTrEq8QJ1b4EP6zXZprnG2KWr9JuDA9ARHsC2guL3zcaNCS4yCcyi94viEb6XPF8SRt3
1/VWfYqU1Bch4c93ohjwUMbTDndodG+batyCGm93Db/bAUd3uFN1qw6+RFxcl2O+CfFQdqsM4LOC
OtS5O3y91mMvfBgQU/2dhIJ6G3c6pj6t668qoGFJgSrqo2EtHUdMouvUZtS9smYJqxSJ5qbOmAel
pp9CHyxIchgn0MqFBnNIX4IMoTh/RfuRXCWAJw6+0ME7gdeS6VcyDF/6xCS+g1t8FyBHOCSxkW2H
qY/2xsguTCmq37AetDRUmumgBiPf64bYTDhG1o7hI4kzNjKWngJxnC3nAs1Bsh09sDy6S5xVT3Au
0ibg2j5e03weOCjQA8E8yqxi6oF3kol9baSTfaF1q17xXQuUbrJlhBQKApgDzVG00MEBQ1SJIrel
ByjRNUvfQDWR4jpwK4pj0KPRRbi4W2mznPzShPsqpwm/eNcxd5uLc5tJ8oArZ5g3ZRE7TIk0klzP
AFLpdAlg9pzCW8j5qhE1YZaJN9/ZtdecqzmNv40xK65JXMOabT7e13U63jR9ORwTWHXPFfzBFSZ1
9eDWDkFvejLo2HlE0ajkuXOVuy+bfFyrgrzDEEBilmPMTTMAgzkJkJ0ggSpN0H/2PUAQ39iVwh2+
F0PRgrarIFfyrhnWM9RycXay5jwEEakNVYLebDAhKjmTdZm1wgnpR0fZTmce/KqsHHYlEz+CwhDZ
JqRSrQAh9reErxTxTjteg0RotldJYXyMtCLywZP3FEnzvkM+tuBoHweXDA6a9pIWQWmdnaLF3aEv
RQLB1bMMmJ2s4EgSi1erJAqFTK9R6JQFCCZV7bTjqkGFGMWzs0UjDaCuG8RVPXTBbWGimvOCkDwR
3zk7JYx45RsYyIU77oahq78GpDCvvckq1+4036DG8HfJQDAWdpnBfS48WMlWFk47ePiofn0TUPna
KQz6bajWqwfqsvELVjBxyEAz7nWMRt5isbkC5lqtrNpQd0zf5ItG7603xJMTu525OarDBhAdBHyG
bN6GPKIA7MSk037rImZX6Kpn7yZDEgLQh8XrqY908802IL8THEZw+TEEnkvId0Ejrm3mj4lELlqZ
C4bf617hjZdIX/S8av2x2SWOBuAlFc3TKbtdoBomiw/qNLPezwkZQqDS0hfbFPWJ/CwE8R1BrfSJ
gEpmYYQTAk0XEgNe40Ff6DkYr3F8PPZ2DLddGQ8iG0hBZJO/ceHx7xqw+Sncb4ugncAdeHLTJlsz
l6jvbNe882JkS2WVGCtF9s0BJBoS6alxDrTAu2OH15tVviuQR9K8YZ5nQ1wvMyYlBVi/QDcmaRx2
djlhvr3pFh1UwagfvZjTbGtHbgNSoy7w8S+6XVV+sCEBGAWPephds38I6QcV63iUw3c6UtJB+lXk
m0Qveu9ZmdSMEg2u4ZcHusl4iuLmo7RtfAOoQ++EpeqdNqebGKLGaZqlXJcK+/MK+WD/iKQt/JBz
ykiEe3Ndw+88erIOiGFVzCJkFu4aJon0n7srbDLhDlgG410/IeoM2Eh6GHtzXFSkRBAEdbJtc/ML
83V/3YgIeoHfI3sPFoDZQko4JZInwR9tc2cJZopE/OB0H2NGL1MMgaHFRT6sYYwPOMeIUrRHO7sI
Cjttd0XLFVFuku2DQllHJyoxkUTuRep0z5MeyzPuyasxK5t3mVfdZV2JarPI2hgv21edKJutCgB4
icaVxPvU/TGX057U+UdCF8lv62aylAhgKk4l8vptVI3kJHZu/jA2Y8ssfYBpyiZ4GKvwVEy5fnCq
yF8VxK1tatXr97oYZnZuigI0TmW8BsU4bCqbtTkt3fDKq4rwi9UzuoJojY4BllWKQy0rGeF2/Q2j
lKdqKtoV0/zLyO7pcU/DtoxYtxl9VtusGze6BJSMA3ne0x4GJ4XIvZkr72zP+MDsOI6/UNhL7AFJ
sJlmwhHpY9I8JurtsUkMxJpese1T861w40PHVPkItxw+CN3igyhBDfgWXWwfzdmhJcMWzP4S6QtK
q5TejkhiFPtVZfgnVZJIaQtk3CK770ey4uouJcBrkJuiDqs9pXy69UOStVxQKPsIjvle8PkrnS8j
WBk8ezmD5woPoDlMLlky84Fx/MPUNtAoevJSjO7RT+z+JkKJyKV9US2zAhEZb35cPtoiPeNAvAt7
dqg4t66ht38P0+968EEVxJiWzDhEHNKhfagrePTeZcwcxoCqt86YGVxm2rjUPEFkF6l0HwzCfytH
L9mFxL+xSxFEBPNAuHX+NIt3WnHZzrdra20NSb4GJ0G+gZwMbmAT33dl3LCKFSji/UcX/aZb169p
FXwdS3kZWdmLY8v2AvU54OhMowTNo4fIVgeZ5/eDn7wUdn0E6p2tiU++Em7K726T2OdWPTxmmOqr
NgHFZhtdsnEk/Yuotgm0BLszuNktvEN5BIP7jbbD0R0mxpg1Uzpy8dq6x2KRRMEBXVJ/XdDhvZ4q
r/neZpmiaSaPRCrkJxVLd9cH+FDyIfiWCo+DOcf9+xYSC6txQFJRaEj3LZqtapc3jJiYBe400/rT
lGbkxwQDFI9odOutI4g8iDK/Q+ZTJBufZOmVKoqz7UC6bYqRWqVidrToqmFqcURohhjIojSoYfjC
iU1Y44gceuUzzAcgx/3m3FquBsO7893w2hEDE3pbf+3zede01PmFS/WZpzbCj4A1vwop6IWCMynO
Igme2qm4yjHIrIqR+46g3ARoneljFM0Vm37xYMIHwjNEROeYVM+JhdiW5LmK1PJvnuE8ocNq17Nm
z56qhpum08fKFtgR4Fw8jjRDmQ3J7KBJCzk4M8NtUminVVU3yWvcd+0+clBCdjRETl6xkI2hsm3q
fKC29fTXwur6veO6fFOTaCjGS9fSQqpNNAa5T8hXPrwpEtdxOVLdMQPfTSQG7AwouJspNc8FZ5Zd
wvnnNBQBxRFhstLWN7rlgCErv36OKkPu0WN1e1osd3UXlkSlErfYh1dEmrbXTW0QrcPasXVU4J5L
ZUPbQfwb72NL11ezTRysjsd0Z7ocjv1CP4kUWFyHTmFnM7vYhkFLOs7gjvcQ+Ti6FKT2DmjZdiHU
7LeRL3XytJdt3JFbivC1OtiR0e3Zb82rqo4IXiS29JTXh2JiuuIWJPiYuBy2IWD3cyp857GxSvcR
Rtj3YLRs0vyKfh9lwnwi+rQ9FFZi3FVVr78NPNs3GHHc8xRDSE8E6Liqjfo9M+4Igw1BJLJbUHS0
cTYES3krs47h0w1U8wV1X+M9YOZYG13IZNS0Yh7Dhh7fOhMNuv8uqroj2hZzhaHnZaopFUM6Xm/4
RwoMD9a0jjSlULvEYKgElso4JdRKiUnKXV1IuM6ue6p0O710MyhtskW2Ga/vzmys7hjgTdoOCQEO
Og/HG+apCdViWp1QbfUbMjm/RDSi1n3OHcdbow52L63dSC8lRffa7RGUx2dn1PqYmNm2UMO4Y0Ip
OUsRA4QNoiccTFNXSpGf1dBR4BZQQGRqDXDxg+hYzb0mX8V293nWygs+Z9p2MUPRWdq4xdLBPwUM
AOm5ALoTMdU8B7A7FGfia1oQ9uWOLUY9MTxbKQ4Fb87O9RgFkKXmd47j+lYNNcrfEG7ZOjY67Bmp
7i/QyzzYtnziY0EhanVkGO9sm4hyuHHQseiAlptNFh/2XdBhV7Zp0BsqdCO2eQdlRuWGRdcRSl3o
498lyKfayagMwh2HPuepC+GY8whWT33CNh3A9l6h1AS8F5WcraYEGhK9iuKB2bJaaxVVr0kaiVuA
VeaNXddiG00cDYlAifVNaqtvdZarW/pxSJENsiFzpyqJipyB9isPQDve8su0KfQlgUEMKdWYHvsR
wF5VB+62Nsp8b5CptK4aH/2iZ8WnKSJtYSU1QgrfIjQ5KeavAxalQ4il+DkqNYy2JNF0ONxvELaZ
L6NIQnBtgehDS3ediQC+YT/Fl+6ifvOVSI48fl+U4yIF10VYH8ZQRJdhXxArXZbxhd33CDuMlI7q
RYaO1UNHKPovU2I67z2qEPtkEDGAjw0F7lq4s/dMwLaZbp3BG+VWd1H8QdKd9taimpIKvV473c85
0sJ1Zho62KKlbxHuwK57Hlw4tmTOcNKb2/ke1B5xBX3G7jilDh4/eQenkDVT6fQthwK4S3xrEWmP
4dYs3AbMUiUfgrS4SNv+ys8tfco8uPZlyt7Bu5rNZxhaJFF6qIxXDp5BMlOAoq8AgJePfJB+QKJb
PuOsF9dWmV8hhE13SVF5lzJS1o74zYhlzm+Ll6qsxKmVuQ17gMjbDSbt4GDJoH8Y6mm+S4O+vo/x
PCJHV+Z2QPGwMguDIS8kwmwNIio7WJUCwdR6cbep52B2V+1ksSbmJvsvKlE/x5hAOnfoLd4or6yd
lRMZCZYoktBrL6SXPtVpsElTNgP0A51R4fNosp0RDNWrm8IWXe5Jeu+x/lx1uc/os5BGvgo4TO47
LrV/yf4dpbvY1reBbFi90lvXV/le9dG4lvQvUb2YjOEx0TkhUQd0cjCrBL2LZQCP/BJHEQcDPuSA
hZc5wo5sJYjwKSQDD/5JFSfVunOdNVEzxOqOqYR+o+r0LMOkRhXcPHo1cnq8GMLggFC5ry5HqYPq
Qe5rTX7OoCD2eHPb3XKkREmS5iANcclux7rit2qj52Fi97NlN24NKzX3tD7e54Zo12Ls51U5D4/d
FB1qzIJ7OrVoRv0Aj65dNFuYGeaq6HB4ZDH5QUVbZOspSuuT8ONbF8PYltieU+AAsV3ztFgbl64w
vt+gO3tNYn8bS2/hniY5SlRhTt4eg0kvaYVW7YXj6W7veRJZZKhN/x01j9qT/Fw90f6ovoB1bm/D
wW+ffeUn11x5zsW07nZWrxFmOhkcTlTRu5y3b2P29vc2CvVBzdZ4LdF1BQgus+AbPVgqfPrl1UUh
QkKyHdY8jGaN53k7EkaNFElGTQB9itmj/Ugd0xrhEQQzHhBUzOUeplrEmikq9cBe2slVJDK6Wci2
OAbj2NbzEWdRhbQzNxmp+i3mtNLLz61Mk4fU7YGFRX592SAE3gTmMnEJYuPrhMIXfzDG8wgkbNMN
zS06HGefI5u4pi3i8U83ivZFQ0cP1s9IE51aVoGgrO3sukpZpiPbXDHpIctew8WrnP4a1symbRIs
rCLZcgIK1pWuPrpZPxTtqB6KcSjYdsMp8WACNfnGs+ZnzDFPuEUjWFWpvWAWQUWmEZqXFmvPFMen
sKQnxEAH+lhsPAJoizcqpndJ2x3XS4RXBefsJs8jB6s1p646lMnBNxWH2d4xaLxEICSoYGEBxzp3
553ZsiuuSsDBDa2dARKf9ttk5TRDh2rQIFJjxVTFuMLpP5U7EyV/im5YRXcClPsFRV95tBO33BLD
Vt25/ZSXGC1dq4GD0DClpuEB4Hbu7PamQcqONdkT7r0ZVvVBpyGHSM1ppcRw4OiTAdqoXU14WXap
32D2DGlrmoPnPvO95h0ZJc0yqJDlo5h7YjI4sWRkioQljZu5Fu8AJih6CTTEVaYKy17TWawe/GlZ
LImGoYWcikB8ODARKYWIr90nzBDY3uiXPJGc4T23U+Rd6mQqz+RCe7cMPr2jawvxYEqi4aE0GhHa
a8MZyFrKGvXSY+OjkAGaejTZ4UyebRNw+ezStOtkzruV9ATubQw0rt/J6xAPEFTNx8BMqo/UK7BO
tqrJr0lqtxkxEJSOJls56XttSPMYjMQtmUxG7uIc7+4mjYyGfad0v06e410TOJZ9ywCB0TENw+tu
LJ3nzhA9p+MuzF8TqeZThT2JVKZB0YbIDA5M6zHX/VpVpbxTJIBW6zJ3rNeG+I3DoFtEY40fLWrW
gG6EXzch+mmH3m4EDiYK4kezUe1HWdjlI0Ok4AkLc/li8O5vjYYrD7y2SI8uleRhKuL5KQA/+4yF
gFdzioP2xdaG+0oX2PmaNVOz7qsZCcGSpQUKj9VZkPtQ8IicKsNx2FLKZJtD1fiwZ4RjBn2bdWE6
DpwYH3rJVBfi0ZB5dBRIqs56GNRLQs7F2vQaUMWTH59c2swuc4y22lWlDl5nmiy8AEDvXnwc/KBM
S5eies6gcFAAog2FeLoLe3nP5lV874uuvCGz0dwzbMCdKCXAYMo8VKep8TWm3QOwExkFvRuTzCUr
zPZ9mCYgu1Eur1j2660oq/yGcVnLKS+k3wWSmaKksPPqbmoGjd4M+jIXR9KEdOwmOdvtkB2dYfKP
YwAnJ3bK6j2hSIOYYbWiXicow+cVVJ/svlGDaW7aNC/PLBhgv52YO4c9U5d7jsmjve7tmlN0mWM2
3BZxRtbQjKXozUr08IWG9XBjmkF9Jwle+i7rLsP8UiA37AL3A++Sfw7ailwxxwORYlu9+MAXVH5H
0rdYhBHCvhRIT54TrRtvlQlPuxs/XqJ1psFxQG8Uwj3wqCqUgsK5bySc7ZVfyhljadCYt4ZunccQ
QPk7eOVHS9EVLRoqkn4iQZhM2BAUkJB1eoPQcnrNGxV5a03vFJnYDIrao/U+H5qWtp5E/5jvOAZw
kaE2UmAYbjWbpySqnXwDDAH2DxHE8dWEkJggSaaurBFhAZEatdZFlLB/wUcDIDPMNY9OjgUjQ2fN
ZgPJmkF0RQryGfnbyNiq6Owrs/uBTIVnu5auF752ugpSgCPNswOkJ9nkHrzyHpzrbcSN8neO3zgP
OI/1tEXJ6b1TGjmQQON8ekvIgaK5kmGlPlReLiikSPqZdjzNSbMn53rpDKINBU6tCvdrR8IY8ZyU
/BdhIIYHt112NuWCK50NuvYG8cCn0Ju+aZ1i7fe4KCuO1rwn1Eh8A4YJFn5oiHRkotFZY47jvcBk
zd41+lFalq1cR+6EVMSyLmVLC5O9wEH0jorQiaA5TKO9iqVm4CH4wb3V9j3Swcmxim0VipxJh+WV
JAhGMa2zxkregsbJjp4TL+DzsDWtjUeyFYiSoH7TE/zV9Yj1ZdUzupku0tSAA40b/nmumTowxODw
lusgTw86S8V7krXmxaSdggPuPFn7qc+LvUhB02dAtgnQZAjEI1kch7BjUOYxTLtxFe1MZpAdu0kT
NG9zUmExriDFPiVelG8GUnRXZVR9iB4jqcR2fUpQW92g/DWyFV+7OeEI1udp6owNs1rO+FO6w85s
rHAfWXvONmW04dRcfdQ+6ueVypL4JvLldcbcd2+HdXgf5XiR1nZjjIckt6J+x9w+2hWN8yqxyN8a
buK8GQBDiGZbGElW+d5JkTwIL8rMwzyUiuavUz8rdvNLIh6tq6wqjdvQsH8lxFiEFr+XvCjTQQXF
xr0Qz5xFPvGTYiFKTa+qIpxKnOkZnnJivvFcEniytsI+w2zWvO4tI3kw+56t9K8FE86fySWQoDAF
xc+P8OaTvme2DRd3++jvJzdsr5Vb6UOvG6YIJmN7MWBLDjiTMRg3ESUPM1uK7rp8V/UAXDvubFoR
u+f7Oc3OysQeUDBgKkZX7AbKeObNtnVThIOgLZNjuqSBKueDdp3yNDgJiVkNeUV2z6hC0hsUKLWy
dTekhKtDEAAAkmUGjW0yynNIkasYddDGDVjLOg1E3Bzk/dhxOJDDZN3UsfuWFKWzNry+PUCTQORV
FkCHOIwhlRp98YtLZ/9RRqgUPVvsx8KmO+h9ErHlPEpcPodqHQ0l5wbzxnFGIg86gEmFhWRpmNBm
CBLomRF100XcdNNOZVuqgEVjMNgb0MbKW+dRD12iy90tBpX+aBJ8ty5HA4R/x3k3Qx4diyQ54PL2
fiHM+RGy8enRwzqA6HPB+qHPWZRzPz16MXtJ1Sut9qauEo44qp+zNW6K6GI22ltr7N1Nz+a8nmDF
nCzT7L4z8eqO2lzUejTcpFXAh28Wg2iBbuMXz+Yf3wvEma7Pc+kplKmfrm9ID8+18KoTp0qjilFk
qC7JJde/+BiLIJTP7x83EsUjrwBL+w/G508XoWJg7DRBpfaMP6eU7dszDsOgu804Zu43mwM8a2Ra
rQtskdA9e/cWPkczbmiMpxdodtQ1kZgpshlelkoW+TU+DxP2WzAbWyc276s2bR7/+tJYnyWNrNem
JSHDsAb59H4+yTTrrJ5pSPDs9Y3NojDbhVzjOISpEKSLgSNyHlV6XZpxSYA93TPmPybcqiw6TWDS
N4gZpneJCeA3hu0ii/4n4xhd9M/C6k//+fc/V1b//Df+/u9JtPffyyX2qvn/QKTNyJen6l9rtP/S
vv7bX/6/1nUH9a0ysZoTwyMFGmH0F+1//5daJNfKUbyvFoxyj13if5zr6m8Obwd/2mYZdzyb0KCm
7Nrov//LJvULR7uH5My3yALyxX/iXP/x6T+9KsxyHE44pmcvr9BPrwhagjpKIjM6+oiU2k1gDblL
AHg5XTcgWB6GknDCinD0dIP4a85Xhe6Le0Ixp62OMuu9C2uVXE7lYFnbtGUHMGw3MFfawhHKYdFi
NDxw3qzWMNzIS7ahRrAY+VZ0lLSihuvRyTiRlmQOPDauSG8nzyxI+0uV28uLKp79M6tSyv6PTMIB
YUU3l9Y8gSF9W6qdnDH1rJk2mtcZ/QQoXp47nGFpNsdh8KZ9h8n7Yg7BpZENbi/nofEgR0+dIL0P
K9/mJI5xIcT7G7SPKjE4j5I6wD5IYDLnf1I/W24prDuZ7LwR83r7f9g7rx3LkS3JfhELTjpJJ1+P
1qHlCxEig1o5Nb++18m6t6e6Brcb/dLoAealgKqsyIw8QeHbttkyj1Vxac/stwZ/nnYUF6DNLnpz
6DN29MzMS7bjTn7ihOatK3oJ9ALI9XRormpUFpbXrmBbGPdp6mJIpzf6Jp8aySAfhQ/1MLGzgfuP
pwniTzGDfekTs7zJfeD32FK8G6d1nZfCqOQKCZ0WYLaIGGZheoViovhDuNOtN1AfaNTAr01++3c8
xXo1Zgm1JWbAtwBDYDnQz9ww+nXxR9PTXIglI6DbNOewJaR72wYY80TrZs9aVYBtGmg7+1l1GDF0
LTpIWL57G/eYD+bcs87O7Bc7k0vmpla1+RCHzpcq7fG+jAjJSjxBF9/OUhTrKW3T26KMmgTA4KT7
p2yyq9fMdgnAeCme6K1Pl/mlmqveWqnMbGiDaoPcvnqDmCzPyRCEh8G0OLNQ+J2/V05nmoeRH1ZE
ztkDxSVjMJB4Ywr+OHUNERKZmz+IXcdqXRm64pA4Z/157vlrL3FUx5uEX1RrFY5s3wZRZ4d4uMYb
HcOMBAR/I70ffocgvd+BSPE7HJn+DkraBPYbLLxModvi6qNj2k3ZZ9OGG17ya7bWRTSg+tL2grui
0vMr0pv9i8hXtwNYgN1oopQOMbxOStwPVr4YMZTtqsmfyQwz5ozroTOLZ9dJ0jMV6/YlCtzuPkx8
/7VrpPkY0ym3qXUQ3s9GihFUCl08kB1KH82ZgmWPjB1MFzsTOCyGnio322G9R3vAKUqzHlHKr511
m7nl0cyvbbQ2GehVBlTtdQqGn77qDLFMu8ZKVoOT0HyeTuO7lhM1LMGIbQliC+0gjYj6B7PK7Ndg
VC6VujnnDkimrK+WvZfLd3gsJvpJPAQW24t6fDQZ+04JvnTe+wXz4BVO4ezsRPQ0DokMHYm63m6D
1dX9QjRmjDO6lsF/nC1ImnGMTcYe2+ldeNq4DKLKicUWAYlBGJPRvWEn9dnu1LASs9V/i1zP8VK0
jffCLKDB7VSR5z/Glgh5qw8TmLgKVCc7GY1e0iphvXla5w/VKPST0DaQt8YOsPlNGL+PRsWyGk0+
b7qVmPoxW5VBTe0U2twkz6M9RJ9TUlpYatmdvtT0b4KGSlUzc5bg+HCcRu4+zDBKdcsgdrtDlFhs
sGfNwRYjMUFjszWbnROOANAaJ7qlTtv7LEezffB6p8rWVNOMGT+4sAe2yGaO+wb/mE39eOGSM67M
fY4wPG3aNswhYFb0byxbERs3UzJefZsiQrUa6Vv+aTub0uwGOyHonUY4XLHd4LOAKDowTFJ+hgaC
0saye7h+JsmRdFnGdfhajBxsN2mkwn3a+BWRgTzMakJ9MTjBOlYj7qOeLhMNuOjZzJP5SuPBkJ0Z
VPniTPWGa9CSBscWOliKADfjaoBIdJN4gX8PmbG4DK0JSMFtNKYG6cq1JorPEY39GXOu14LCnQM/
+dC2MWxlzl0IZw/oJZa0zP+qizG7c7k0IzI+OV0wuoidBrtGRjsGd3xL4jpmU4MHrnesVez13Wcy
VDgAkjFGCgMnST8JnGJ90dM4mcspBq+H9Wm6K2jhfU/r0sl3HaS18rZPx2jXz5bzgdlVxetuytqL
h1TyVo1W89rVsvkZMVvnK4PFEkUudhI+T0PGczbtVbTPNfMBQ5jhGKeQ1bmz6SjM3uOdMpZmLKMn
3bvWAd2n1XS/ZSLZ+lSmAYDR5DwLP9I3yht7Gpfq+d6NiWIPfVgEuAXF+KAtW40rE2Teng2bG27M
UWb70B04DM8dF9DSskABwMiSLUwLr6f2rh7kBytNve9qUV7YAvE7+gppAu/c4DPzV7z1o0ZfW6pr
Y7w19EBtfeYMX1Qat99hlbHY6hIv16u44/28YIFXfYBVoSeFDZpaWo5L7BE+MiAcZ1C8mZPpOaT8
k8jnbNBK5PtVAtPlytNf5T1Z+0XN/TVR0EWVlQHIb5/MXftoO1liruxgLDkOkA9hLWGAqYI1UJ89
wx7xfxOW77xufK1KGaQ3uZG7XHj6+myqYjFJCsoMeaxb2oxuq1Q3/Zo5HHlhrNFmCzC5YDuZmNeU
auHI4LWCJH015OPLaMOvWc/y2HhXprRXj/MIhBCK2gpEsD42CYYAQMDBNB2GrDfCvYdZMVoHdjm9
Vz4nB9ElWMFqv/5FPMrbC8MvXhwnjZ79ou+AbVli2A7iup2m+XTr4nzYT5jDliABux8khAkyi7QT
mJ0Uq/VLQi3mPovktJ5S/q8EyeWWo1SJZcKbliZaSLmk8875shWmiAX6DWpsr+fDbAu5H0kr1wvy
tuJCIxwsdSOlfDkaynLTmT0mhnLGhlYrqe+l4cQj97hu1twx9GP3/Dg/4ZepTSrxEC6z1B4fS7xh
e0Al9Fw0albnmMcuO5lMOAeeo/ULYAN/hTu+3040rbGc81RxUxJUTAFjuNluNIOWXnnMyrlrzjic
vf5uJKC7reoBqnc+m8MCcd4+RRjxdhDl3Tcyu1yecsiBBsxmeoLaXP6KGpr+qFnLpUa+dKLzpD3r
qYRIsgY+3rfEuJph26eZf8M5pfxscfdEAEfwyAF8JXVr27Z/6uCgHlBOs3egd8mDz2oMTmDW7Aya
6TdW5ZQHnx0DFqWSl8TvOeJ/bOL635h49S3G2X89TIFy/tD/Ier6+wv+HKA87w8pJJOxstCWiFcx
Of85QHmSbmT+s8viiLIC00FP+OcEpf4g8ahc36SO1LVcn+HqnxOU/QdfwSIbJoqDZ0L4/50JCmv8
38QG6wolg6sC14Q+FPH3fCWpkKwp/Fxuq8C0H5PQnlfIkgXAbYSzPhk7nLz5W5TyoCYr7r3FaPUQ
g52O2Dj/sLc4Cd1zVNrpC2w5Mlv97J5Ngo3BfpxbUhFwhKETxdp1X6x5mPE5U5J8CtLo2srZ1sU+
hTnDhrafX4gFlz+saduXCHoyPUqSshRX8dAWXpgt/EYYS0oF0s0gPE6burfuwWDXR7spygPlonTj
+EW7D/vp+haBJPliuLNlHyu2r8ck8yGDQwsrHin9nMWeqhQDeDl/0NKxQagjeXO+hsYSPOE8qVkx
G87R9cv+vY4r9seJ4aWUDaopfka9E08BjkR/08mQ31uWaC0yS5AY0dGtb/9aMALGFHY+sn24cXo3
xVeWaNISMHVPhKYUB6DSx1XPWhoXoSv1nVGViGs4gKc7n+Tthjq74lwAhyJ1k3bYq7FA5d0NFpTu
B5yqcQ+MKMAxg43hozIdlvmREYAhbIypvkQ4Fqi05kVebQIizViGoj69A8U/7d0BwnA3SUaQgl4f
7OGp3GDmKU/SaZx9YprhvGKFKTe5otLL6hyehqP8idpMwdGPIAKRJbX1LjHSulvwIOy85dgKfrpR
h5tuMXt5TJ4uSfeE+tR6akW1aZSpHpC61aaXUn9PbRZjR2lw6XWU2n1VvCTe2CS4BwPJ/0jxYnnn
epP1BCZZn1P29iwlJshQG6cSibEeux5mL/DDsFmqxHUOXUjHa5aO/o2uyU3XTgpPzKFB+0DhrTpx
chwOTttSwuqAQMWRO6xNt3PeOc5kwKmd9oF24mjYlVYi7uLZ6CpmbUeQf3BG/yJcP7qpXIGFhp7p
9uxA1j85tbL2cIA5GgRBiQm+mZmIYGPBjtBumu+gXyZ3cdjRJ5f6/XgKhuYhF3Pwzto0PRipbb8p
tu9HZUwZTCVt8TGVpn/RLLdhOivcFouqrxmBit+L+ZRxP1q4JS8peL/X5b3XzHLfwP6aFtJtrHU8
9fqehdu88aZkLYbYWAHPeAdtF6wCt8SsDJT4ub76UrVfHsTY0UfSBSzEJvumTW2Sc46/AcjJwKTt
lwCedd5ZDRB5VnuLWUXYhr3hO8vrL9PALJm7+qHGzuDHxBECUG+Zj629opW4nWkQyamUVLggluY1
wIpuvSkZIXJ8I1fbhPvbQjFYVlrgDsX+HCNYL9qymbcsWFQLv7xzDhoC+yAk9QB2HsmVz/725JF/
XnMb9k+0eBZnQ0SM+aYst5nddt0dtA42A+FvT8gsDNDeyCneO8c8qg5arzV6Ltcw+koLnokrniZM
aaWYW9BSiM3RVnZ8OAu8z4gwhTfg8+CLHAGw5WpWgYbeGScsPJoVlKfSb1plO04eibEBv+9wWbTj
1swhdYvepvMgrCnY0IA9+gHWcR5S87Jg4gmeFB/tsmvBqg6VQ3NiCBea6WKAPSKysF4XSdttJloG
8a3E4sFL9PzuMdfg2iXKcMxJOFCUEKS3HDiCjUjK+KdiZm3xu0EGwoUmps0wpeTNpMEOcLYA4hWy
797AMwkIHS60+p7w0m4KYprmyjQE2dso66yJlC8kqI6dj/nilRAP7iA96VUdDICrKpZ7GQUrD2RF
9SvMvPSgcjrdVlai1LbpaJPj829uE6ygpHoqu/sMxyJbS7zfc+gcTcbyU0u+6VVbYXMMwxHoZGo8
sLdN90nhoagxtt24jZhvONvlW68o5G1dnKq43VP8ON2KNo5XFpjmJ7q4+00DDMxaAvtG8kkr4yKa
QlRHydV0M1Q6A9PGEx5dAGyyPWRvsGzaN2Wk6XMdd+WZjzm9g/VmvwPXo4mw1mKsYJX3wU0YkSyM
+omqVCucm1XSkVTF/eQvGwcVKcrnYl4NAUQl2++OHMRshJzeqVmNz0eacggs+HQTPsxDmm3Ags0P
wdxaegkmMn3x/FFyWB/bG/RxarozQuyUSHPabtwk+aalp9ubfXetFOAUS7gi5Cq7/tkqjuVtS2x7
E2Jb3Vlm5X7h7pu2bhDy6ENcn5ayyApChOZIysqWhXFSDULewr7aEwZe95WuNyahr800Q1eK/IYc
IDmDEm4l7QbIhOGWhopqGZM9feEQPz+1tmedZil4vpsK42RlB7Ahi0ia+1DI72YS6UqYQ0rRiYcd
FPN39TSaPdAxDqWCAFet1WmsPOwNXjORdeDZCpuAREoRcxljmSDvFN7IqpHhImC1dyU4+en7wPMU
J1hEknA9hUV5p2yP9MZQx/NjSajdos8z7w4C88hzA3bmaUzMb92VBEXioDEWKszkjfKb8Jfq2nBT
uGiPi8ka5YL0EtMzY+K4JrFvPSdaDY+KR80HulDMQ9ci5IfKJ6heVolTPakpyX5lksZMzvF0ekcx
pch5a76hiVguwe5a3rQ1dMuRh+gYGt4ar0NymCunf/WD8NMPGzhJxIZrz8fVYuHzY9jaFSiQUBJx
gJB3OBBvvtBkXCMa13hcATTui6SarIdUc5PsUA6dIykD96EHKASzv7PIWPnt3osSDh0kmZrPiuoh
elv5QU2W3mNbcbZ1wst0QY9yssriBEKqYw13IVwRznuCVyuug03FO+WpnMpsQxSuXEK007d4UMen
tJoNTIS+A9S4wAzcwIBUpWM8eqNaj0SXFlpY3h3J3vxCJuDaeBknL+Y0Wfte590a+b36LpBXtpDq
C+qt+2I3qsJ/dSXoz8B0y28WRyT7mnlIFoPrTg/ajiHjJ/jSK6vZ2aGITlHJwjLtIzKvBfLUiG/n
R82GuawC54aoUQz0n9c9qRLzcyqoRV1c6VHBcuxRqhcT0ftjllMwyEkS4GMQiOE0TwlNTmNuuJfJ
1TxIhrH8hKRs4XptPOwVRrsd8iG+dSfOUWYY+BvVwsOcE1WdaeOmqT1miESkpga5Gb9x0jW3cVVf
Ok+2O1NAuZ9Msj9eS1pMTW56qlvcflA3Txw64xVOKRuPgJXtgLNJttqGvalkumWhSVIu+qRE+Lsy
/RsVhs0mL2lN4Q6O1X1ZVZVc1pUwN1FtHHkm5t3CIg3zmNc8V8k4jsAkxNCxRSU/OB+V2w4bObXG
vYeSIN6GavbUoSebvUUB9fnZl5n9wyGrJDWBQPXMS6qG8t+av5SDF/Mw5wjlC+2l/nffeaa5ISs6
vze0PTz4maNW9tzNZ9EY59RMAP11rA8SP6H9GqDWqdGxz2kODYHgUBKDgw9N2OWDduRjlprhLm/a
hiMlbSZDmxylU7kXngjt2gFOfHJDq9eLPJTxa8VXnKycrpAl58z5oltvSheVqNVbxsn6oWRlf+J+
dTrOXrhBdD31dymOjYEMigth1TBbsahciLlrRHoBYS41WTWYRfYwm65FLcBQhW8FftmTbOB9LU1y
wxdJXgOvMonmBYfVHAYBjVc45FvHXeIWC1zWDUBPlmmtw3kdzgL5LQ2q6IVIPF3LVYWTMhK2gSuH
IwY2lD2u7vzSw66/ekPzs9W76g7GgU23mCJbtgRfln97U2x+hlXnnV0/VW9dRG6C9ZqBIEJj7VUh
idJoGRRUPC5tyjj9VdGNtIqXlQnpfx6g8aJ8Y25NMR2NrHSwZBL0tGsHRoFPPqWsdLoycIeTDaA/
h6fWB2UPLcbSjmCeZ0fbzGOfMcYkeqzw1qqdn5pyyF1QlMYeWCGm9dzYiyra2U58mbGNLnq3ylcZ
ZMMHMWhjjZASbwOadVaYCeUys9MtQIE95wQ6jG3oZwMFKiVnQ76Tg+sUP4LW7FUcGjvLHVm6pRy4
GZHJDGc+mf0yevE1LrkhIuMWzchnWfhE6FotGAeHjU5ayA30VpWDd5YW6Z1cGDtwreOGYeSTxudT
6iQr1FWUKR+CuhLhe1vio0I2p4pEWytaxtzVjA8er2/U7hXiDeBNtgEUSM84JHK5ktSSsSGh9y7u
i2bp+gOpiExv8sxaiWz8yHsCu120a/06WhG2upk7ld4OMi+JBIr5zL1HMkAG/opXj7kYhkkj/PmW
PCRFE94HFWXKdgBvOqz7bs3yqksXduwiCVWF3Mx5k3IoNSZSPnj2qUJ3zGCJL2OSS8OH7IptrtUn
dwJ7TeyOz9cj771Nic6wS7T7nW2o4Lkzre61IR1AfVTEomuRADI4js2kqhU7iP4O5TaP1m5Y+c+0
xI0frQyDY+POg0NYHmvrkDqvVM934bo1HB8z5MyAcxDSxIFehYjnLEvmHSuJccGLQ7xgbc4e4McC
eaCkzBVbI82aA37vljOoRwOaUH31Ytvtg6TcfSta77FtU+fIA4ZK7rjydmNWf8xVLBe1O7jrFhaJ
D3h5jTe7/2VNXUQQFSv3Jeykt2PGIkwaiYrcEv2Sy9GCUbLA/dm/c2fFS8q543qBPXpLpNvdjhOv
aidmhLMiPzwkbG12rYdKsPAi01+TMaiOJqUWNGGEYnim04emi4xgZ+y2XYE9lSCVx8HlygzIaZII
EliX/7PC2n8wPPw/ZGUwJUyp/0x+233o6aP4+KsA94+v+VOBU4hp0K0FmQUoVX9V4JT9hw2Q5+pc
8dDaAAH+uwInxR8e0hvgBa5AacurveGfCpz6w73yrIBrob5df+W3/+TvfpT/8+9/xRs76u9uH8Bv
YH6hq0kG5//bOZOaVmSlaVRAFGZVroQaFOGJImfpmySvIdfXG/7sbA9RgBvBr+GcO6Mt1yKt+x0S
mL9PiNg94BYHnN8j1zyXnD1eraFQF5jX9lPsBM15wPSxn3IJ0zs25KXT4bgv+OfOzR1FIF3AmVzW
Zmt/p6wsIQ3VXXshBGo92irhTomxtv9MU8Vo6LnZo0WYaEXTgXW4Hv9vm1qSZkVmWbWRm+/DCjOz
WwXJc+45zUFT6v7MOyI50/C+iRGDyBPggCjymlurhwuaJDS4AdYMIfASn5EJIwUZomDphA51FoUL
7tlnyN7GTVyu7DGlFonQ9Vp6cHbjVit2AUl76eiUXoGFgKdFWGeKXXHifF+dZRQZAK1pncMn3l9s
q7c3vUrTh74V7blseWUnyi0utWU35CnA3qum7u+zgud/3/qUA2aUuJMyuQSdpm4Squq2ZoP/Zmpb
XjccPe91y14bVp3eZADxQMhxcmh1RXNf184ffg78nRMx0VsatVdWpFE5Ztr2At2ib9jCIvdV/dAZ
XhEib3VNZyDM2zfRjuFz24fD6xQFzaNPzeEvvGcz8S8Pv8GCDCaG6UlYKt7TGpc3LKAj8ZZjY8Nf
zUELCWtW4zvE/MHepIEd3xZeH5xiLx+PvgEigyoRj/zXPHvxCqixv5o0/gYSi5LsJY7+mpLEbi5O
bBzzH3MCPx70JgkXAYRmp5uyOEkW+igxTv2QkYpe2XUulk2sfiaaru7mqKXrC/vlGSAFuyajaF+A
tJHm8/zuRfVJ/MyRN1w1tXFv0WN2TPrB+jHgxLIYT+jnSbq6Y8sZTsA6rOQ7irx3x1HBGWcCaKJR
BUcrk86qGyjLuabFTXMZYHfjrK0q54wtObmPMPSs4rmZDlTRqZucXWJppE9jVJjXmHfYn2BVFB+6
6XBHWvawC2OPBsCpSvdOkq2tcAx2FAUCh5KzdO8o4S1vyGRNMAHc8UCpASQkqV0PSnRvvCr6XZ5Z
KoI6TofhPfdd8TEErHEjJqwV8RrviCWpWcU+fCrXuYtHs77H4ZMv/S7rPxJZ18/OKKOtLjv5VvVV
uJ+7XpK9kwGM85LJ/2xjJI5W/K/VJWxwYjHf2+FRRmUPrUNXN84YM4R4VfUS+A4W6ignkWvVFvk7
kVdkAqFJBb2YEmQI28RCnJuUO/J0uGFTwYtvjEq+X5FTIApQd3h281gdmKcnTPdGeQ5UiwhMAe8N
TqfmXBWduW4j1r1Nr7SJcyhxCKtXlXtOo5AcbpAxRASpNn952Jt/dbBazpapxmu7BRYZwtuYKMhF
VTWx3wZhcnDF8BRrwo1b0/VEtuQ4n6qVT8JwlRNipWZAJs6RvDvnKzpinbNVKDJvBKQ3IDiuBSKq
Fc6qsgvPozEAaF0rVR9vZmV4lxYFbV5oHsVv0Ogw74JhIh2dOjSCgLENDUIcGeLeQsdQSg96HqJT
G4/lK9V3VPUxMHZ3I70h3w1yzcjpO7Tebe2QVS+Iyr+NpQcTiQcia2VVJAo9njYQ9TZRkgnBwJDe
E7A455LW5vBK3mcuDvidpUvWv5z2xiCcYtvmnqQ6mgPqZ1iOFrtNJOvXjt2Et/YzT9+K60wgCYLx
0GZpy4MReS1eGm0xggTuJ9pHLHE9Plu+8eZGIzYyWHLEvtiSjGCuXIKauzi2Kjp4hVFfhiyBaDSO
rRzXoWVO87IxBjDFE1ocGxuLuoLY7TlRDeQh4F6Dc/kUevaTRde5bkT8y7HahyoSxlHRjrjp8qrV
a9VFyNJUdk4PIkw5aYIO7N7In7vOMo8HrBxDN9jxOm2mCHHOcKljaJyAeEJGSiQEAkmNJePhAdXl
dwsK0bRGxuOPNtzihargZluiJJHSsBlRF+lYZ/dxqoIXTCHNOfPtn3oy9IcT+/f2OBLTmR1yLAsY
KRQ+Em09dGQv3yevZ7tjd737TsUIwLKrprYXbkh/a6wA2IRmr+6D1Ju92xBwBNoRDR5EQJUeNmAE
+Qtoda2VzfzWXrgM+QNjTp48sdUYj1dj1bOwYwpMusxuVpxWCaJQ7TL8wvyObeCaWFm6cSTWwOGd
s5H2BGla2ySpQE7J2dP8zX2vuRFeK1ShR9qxcPnmygKrZRZcgGXEkn6LnNyTFAnNp47R45zm1Nis
UmpM43XhFsmro4CSMRl4+cG1mytkYo6DmBig3xzKLKtfUK6BxsWEO6ploPLBWUoWxw3OwIahqeAH
Z8jMLBZE2PkGYSlk3zROEHEfaypKC6PnjmkDM3shZ98deYaaH8Jspxd2dd4+K0i3LwI1Jzx7C2kv
B35rBHogf2+soue7pmccWkSpP2yV4xhvBM/HozWxZsuJaP0y+9EBL1r4z+GMzUhUfnZnyzFsVsPo
9KR7CPnDkwvwPwZ8sjx025sksJnakCDa5763p3Y1x7J8xylQUfVNCyD3aCUfnBjGzIKnovFZ1O0E
SAuOOcADv6CYxQo8jgosNLIPUo1ztTX6PtFrYiY+EIIYF+o2sXLx2uYa6YHc1C8V2V7+Yg6BsBd6
GtR9IpOIFrABwUL3+EAWbVqmt35kzriJAteinyV0hmPQ4gjzkiS6g22OWNHQYrfSlAXQi5t98rNi
2plHr3oempa3QN/yfrfN+T7VEcnpa30o3Jva5AZJKxRSQ12jjVZtiOcqSSUNPp2tKDGfXQx7gVLh
ro21350UO6dpnWIYwEQbOe2NYB3I5Un8iKhKGgWvgTtCIfOhtzGB86mGRlg9d0SRIMbH/iqrYn7u
iS6aWxP5+jxjomB54dnNfWdm1f2AQYq/M3TfjatNjzs+jPN9HE3uKcG2WS9t3nBcGc6kdkbSmRuz
BJexlH0K/WmmGrZXZoRrL9HJjcu0a1IkVVgfM/miZ6P2cbGabAkurh75RPwsrU9C0L24qOwq3tE/
533gQZJfOPr5tmCtYZg1x4HPF9DBCm9x+MV0mO3crPOfY9zp22gGmNgYrXVJZ5mc6XIhRms42bxN
gFXseNNWKTOjyQonT67R6TJp/FNAYuU42i3JLZYsbbKK46h5HzK23IusaORPVvn5r6BL5MEJjPCT
HcDVINTM/gkd+hJBFtlPc8Zr/v8Pjb9R5/8FpJxZTpIc+teejR1Aw39Z3/bnF/9jevT/EGDIJR5z
6wosd5nf/vRvKIe5knGSB7a0TeVff+Uf/g0p/7Bw7+HucBW7Q+bIf58eGSwl1jX8G1yuJEn4pf/G
+Ih18G/+DQwkpm8Kx8YpQrObfWV4/8UJb5ED5QjfetsCMMIqVs1Uw6AjvI/trf7iiuRxJSJIfbXj
bV0D71tuB+1KDUmwt9za+uY1Xux46VirErdFh2t7a1Op8p7pVG3K2cVIRaSy/qrZ4SOc19gSB7zC
BsrxvXcNBJddEWLTZgz7Bl84bceoUfdsHKjjQH+xvwKAbHCIbDfa9Ea+mfzuHCd2diTKBNh4cNt9
PYd7BE3KdbG7bqiLu8HkXe8qP+xeXaz636nhUpwQRROgPiPoNrIwoXVkSTZ+h7EdvINK6w6Yt2g+
AcuynZsyokrVn7YTKJ9tM9bdKrSysz/F3g2WiWE9WUm5KyOCiPXUcfSqQZDEbO9vB0gJaz8ZI6q4
pTttg6yALzoHcfXUQzT4FRPrOrfCkIfa6x7nRvi4Whoa5FRtm7Ac+phPtaSgCVRXU8FPBB2yBsbI
i+Vao7H1pmlcIjimr4SvBLyGsT0UqfVFvLE/B2kcn0jvMsYpDwwqKby9nBoFMheC6SJMVfxJP6fx
QpKaFRKm4lPoNcEncFtgZ2PjGD/95LbnnCPNa8mb6cwPnL+n09I2XxfL0BH2BSR4AwvIw1PAoocR
VHg/o428zTkOZGjGJuFQp2C+NM9NVh/40WbAVkyWbFK44G0+KKN4sHMrYaGJhhl5nXgF+8oL1c3q
ne+AkqpQ1a9jd7OrLKpfBgIPWy+06LYJW2fR904PSggcAlHL4NnjiL2iITl/xEndAoHgLdZi530b
mcF2neWVy95W+U2cZQnpX49tvtujGmoLnpQKmvWQUg1scaZa5070i+ViwMmtqJyLiRkQX6hHXiIQ
p6oV+WkoZ/8bQ0L4NBLVJuch82firNnBw6j+OBRE8BcjHE0mXsg9QyWsO9QNUSCtGjaCua2vztKu
+m7s5gaELKbXLqw2Hamty0ztGBBKd8R8k+HLcy2u2pjw7lMGJrdejW47bwyaVFZ+YoqVoYvufQbf
czQw6t9zZsZcitC5wYGq6fBkA2w3V5u23lbwn5/TasRzn3Mo1gYGGU39yoADc0uouXgyvcm/4ICc
AVOwe16LYGC8JSUTXtpShLdyNm3UGXldhCHVwsYbSLQ3Eh4mRELQhROpLAVW44vq4MZHWjXqneFo
e6NHtNFRp0Swy6/GHA9eGiRLQwwrS7TGRpfDOe9ltfPYfSx94T6ykAI8WFj7iiUlcbzINf4LtL26
uub+EvxRtolVgJCRLR2MHjyB//bYm4wWNS0NgY86IfunfKHyVD4Y3vgOQDn5bcYH0BHWJ6U7FdLx
LoeN148VH4mu4FsaoaPNtTNHFBrCChw5x11JVEnW/+K4dA3rUk6r6gHXfrav5VyPS6vT717Tbkoq
brdO0RyszPKWaRp/1fVYUrlo5rewxPUe1bBeZVPWHXyTmKJV57m9bNK+Xqc6lXuqA6ULWFi0dG5R
YhgMQCJ6t4+3jj/mt6QA/PcSn8r71FM0hLu0+LRy2V2cEFdXFupoEw1mvi3bQb2WIIj2LkVFt1Me
9/f8q9rouYsBusnoMPaQbLE6eLROA30cumrelu7AAs0bpn0IuxiTuN0Gm5AGr4cpM5J+MdCEveTb
Hq5Jk2iTQmvf6oEwbMqbZk0pXIeszoNirZtAP7eExlah9KtnzrkY8Tnn/9DxHK7iNk2PHel1/PxO
cmRyCd0lsQzn2Wgd68afPeNBNoO1Y6Ma8oD1RPmLSMn4DInUfXZUWdxGQa1vvZTGIHFtApemHZ2C
WmhAYDYudG/V9pG3UqWmVt5rxhaKkIlKNAzD3Tjk6aUfCkyKxL1iaHRIk9kEQxIlTD/8G3Vn0iM3
smXpv1KoRa2aAmkkjSQKtfF5jHneEBGhEOeZxunX18dIVbakrFbiAd2Ffpv3FikPdyedZtfuPec7
SqTekpM31V5hiDeLUcxdgdTZW/rpfdjGvYl4yUbmC6A1e4EH258npIinqW7DrR42wzEPXHnKXFRz
VI/RybFHjms1qJ1NDc/cB5Pmhku97sqTU/b+JYfp8lrS2WWiagQj/ENmXDaqjHVd92qNyzW5Un1Y
nCWayVUI3nuedpZE9DneNTxWsU8rYhl7Z6/BX6qL/HIU4S1Kq0WFMB+i4HgeGgnGxHVgarFWLiHS
XjXzgxtIHmF/fpjNwAivs0nTvrnzY97ND3xae4zKarGwGPstmNDY2+lzdVCfKwW569ZKzctHPS8k
bh0K1MaRmNbtHAMNHYFFB+1Qfj/MCxHy/eGQ9wULTymq8Sn3O5dcw5FlzSiqmw5a7nHSDfVi0+FZ
FakDcEGrBSLDeXWM54XSmZdMIzWQnyXzQloFSaTtHLok0bL9XId1r6RP7GljSwPNqJy7US/sSxj5
lr8a5sWdxhGoMpfUSnvb4Lc5aF2JrG7eLFQdTytEEmwjOVF0b30Z26yX/KbJnMehdSzTDPN32YLm
K0DAEecG5nVVf+5rk87EOhi1JkQ7EXUbg4E4IbUNt8j53DrHeRfFMYKElX3V/dxhkVjFy1w5NiQz
Nl+dGsr3wmops1mE4qeui/VEDccsNUBse9qw93HsgrPOMiQ6ZYjoPIv3sVKC0CU3tFZG51nLfCgg
mHDcgUYFLmRvtkV7joNMPIaFtC5atEk3EKNIKa/B9YNsqb2PCkn81UBj671LVXcVNWN0D1izvYW8
MjSrQFfOHkkceAO/1iAH0bPgxOX1iPKi0LyQmgklW4N/RWGD3qO3BANJClz7KsNvAG2ozC5aBex0
UfZO/cY49kmnCThjm+fujqnbm8x3jS3mj/DOCfjiaDPEvtbKgLYY6sC7wKOZs8C/b67NxNKu7Kkw
944crNssLuTVgCd7GTnM/zh8FXclgFlwR3qd7k2NyMtVFoV5ThiICyfbKPH/e0PcnElKA8Ta9R5I
v0h/G7xJvZtFXnKNEb6huOFB2/T9hLhP0vLBp8LA/3GkjbsF7stTnA4SW54sabrUroZwvut3WTwM
h9ihC8VctoYyVMkAmaemPxuDezUF7XCH9JC5eaGl2yj3iRCfaLxx0VywhqNIXmJT+tAvkXiD0Mja
t4CGykup2matO8SNeUXib/knb3oEY26WIKzbLJdHQfZfMAfj4qqCunitYbxG0Qf0l4w0SqFFP0rr
KuJrgAtH1yzRDxXgdot4+tDJBxsQVxKzx5poaitktMyGI2xqWPH1p6JJrEM3Nupsm/QAAoOWKpRS
pqaAzveOCGdnTY4d1qVqXTOjkLPb5ABL4hsyrbcRFvyWDYzIHM8v8r1T2y5PO2qKRR5XwQ3t73HL
ykN16Sf6A8YlBEVF9mBYpXiyKgMCv0rLx96240fIMPUH4nDEnlrc7Lp2ImJefzBlipszhkqxt63i
LGR/GdPGpfKFCaSGQa4Tl72Cxwrx8FrvwDPSRC2kjgLDKvcu2QBL3U/sA40tcze1Zbw2ant8jjR+
pzqo8uPQkykLVNl/R01kbQMoz/3SKebadspnV/Cc1zaE1lelQh/jZ6VtJBKrEwit6IhEC165yrXi
RmqduAsp4gcS6If2owOKSypt0rinvMpZbcD1x7dEfNCdn/qGL5Ul2caJrZK+P/MMLy69jifRJnUK
I47kr3bRaxp1Fk20sj4ADScuxCXjcOjSmYHqws42gJK5fNER2ROEfoua/DKRTbjL0Z6uewwgiPyn
gdODyQwdoP5+8AjBjGzeH8Cn85RhpiWzD9rmOfPyEaG1WWxMQzkvYRUZWwJYSbRwNTC9WTry1Naj
DiQjD2MEv0Wzj9PmmRHVeXL0b/MhHneSb7y2neZcMrZkeyzvmsSBQS/CtrkRAfyYbR/By4wZrCzM
0H3I2pzKUrG3AxAwoLLU/ZY0lGYB0nDY6krSWGGO99AGA6hfHwgEWs2uZknCBB5YorwuHT9DCMrc
VluludvecUaf7mSpILsRf6CWhmOfEOUwPEOyn14BTBRnRFjo6PxAnpmjiGvVR61cWWBV8y1pUdot
1gnzyjTy/puVvPnNBGkBx+4sCA3lJcgWa1dHCWWRlp8zWlyWXslV3aREeeZpvJWRqlhFoFXbQ6Ot
MvvriEYg3mC+YSCA8JtERs8xViWDOXxN0wUF4bEV3YWtqyc3eSmmmzEM6HHT1iL+JP4W28FFkmQ5
uo5Sv3Zsv3rm98XmxXTlssc5cUzDvHzSu46mOBFWmr3U2Ge35O5gk7QbgEGZZz77emI/SqYpy1Zv
rH1Dr/jAThCeZOpjxA3jGaiSgozSGoqKONi3xCcvPCdyFmpQ4TXjTHkz6v74YtMbXWhukO3ryfKX
Uww10ckTO90RtWBjP2ud4YneF8LBvDDMZaGLcBdYdrZPoxF4Mj1OpqjecAsBudxCHpy2I7LDzeAU
8c6aSY5RSCWLc2xcd5Ex7KghdSQxBckWi9rU/SubbPq9ValhExAetE6EEd6TRUjQCxIthO6qQmxU
e7sgTWHgFhE0xcjX1YbPgGokQOLTIdF6qrpxHiMOARTsKLsJchZRQGHatOnmDdclNnRrGMk9lsHy
kFiN2iLyoiDDELpRDoi3FQKEO7T9zXpSZYGcB5fCgglFOYtLHIH1XevlEgEPT2BCxgFPf40bTiqe
LD4KYbtexiu6NoPW6kM2g59GYg4T3/cyyM1dmLBC+GbWrJoWx6emInJpBK3eNs/rheEmMVkuaANX
fU90VJDYq1ElzEgN3z/nNO/xX77ZdCfiZGYQ84rQP9YZExeRIEVWYNoYPSFhdnp9ndrTeKDNla8o
H244nM4esp5rC/tmIcnFPRNnTWBH3zkrDsvTOhpsyJsicjigukl6DF3b4RL4xr6vC+MrY0yIXqLJ
v4U+YnTZu9HeNUdtWWm+US5Mn1FxDlTmq0iL5Jn8jTrF7ib8G0vrPGwwMr3irAKgMrIVlD1Je4Xh
pvkQaxZ+wiAqnzNJaLco0+KISyLm/Ffiw2b+sNPNKN1aXV2dcjNvdvi6l+WQLwlhc9IFgVQTk8HY
2PKEmfctx7WrVkO5mDPOXEcZDYAQDQBJsCYT5uRYCPswNLvR5Xqq3HtGKrFkeubeAGn26BI78YPU
U2tfJWl6IjTBBY2l2Xu/j68CU/bq/02L959J8WMzWfpd8/bwmmXqX/7tNSv//V+Or02YRT/Z7yAH
za//3r+VX0hVNC3qAAOUFS3SP/u35hdHmjCmHIsmqpA/+O9M68v8GktnnwDFA5Txf/dvxRfhSAEH
3rBMXUr+0z/Qv/3UEf3QyPiTYGLPvrwf+ra5UIGh6DhuM59xkwb2FveWbk0YqKLuorQSUJqe71eE
+Gh9OC1UYyVrRrUVfvzO3xdBUG2AVNoXMh9CfP2Ds0pDNexSRkFrDRjGjAcIDGxeNgE4FFSMcX0M
cFXRjvsM58QiZQbyOMxVgcNhbt1UerhjjFRdGkokjwGxOqhiCgRyc13RqzQ5eoHn7fOpZ7Oe648s
D+sDbQdrQYs6enXnOsWJ0KKs/M/ypZkrGXeuaZK5uunGDl3yZ8nTz9VP8VkIOa7hniYVoE1AddB+
BJ9FEy0scdfOlVQ7VjDhqqqLYL7hPyjFoG18t/C3I2UYzK6JfAvcxuAU0NgWM5dwifPe2hZzFZfa
CQESc2VXxR0R4k0+PTNhJX5oas2dMdeCiROOdypBQXZsggaJqvdH9agyfR4uZfY5hxu3CEWK0U3r
/aONDPDNQuxBe6DUVm6AAD3+rFXnqrWI8+SRfkD5GESe2ulzdetQOjtL3cZWGc1V8DR7pJYlI7h3
ZSr/YCqUx1vKxURfeERY7HutY1otCFq607TMGc5gmumsTyr1vtG9m3YpIq15b9fqo0RS+aqVUWKz
knXeUiPueh3pKViZKeavRGVYBtgV6naNtkKDc2kKYrWksZpSCZV9/pemFKiog0iJG3qW2beq5y6s
RG2WD7gkWe5d8sODe5pooACzDrAJaFP8fMtUJ45wYSVucDnj1PZeVoVXtqAEM8p6xsmWRU98s1YT
jlKpcLzyAwyLoBMoT/mT4qrmI76SUoeExNYQgeVjRYKHo7UDdQfSVR+VlIAfldX7EIj9JgsN/9tY
Sj5Tg8wJ3YgRevRg+angVu8rcePIxn/FkEhUK6M2/geAPv2vCNlv6I0eBWtl5Cc/apsVjvn62nbp
ZUU0egBWl0a0IQclXgp0ITeRlQbfTD0R10mrWc6MjJxwM1GAeovUcdOjlHVlHminux9FBEhj6Q0I
ne8bZogDm28etJuWuQc1u2XLUyVlSxodv+J6x8mU8jkR1YMwQ3Nj5ZFxlCbPR0j0FfjKpv9qZagl
1hpuewWWzmWAkNg+ZUIbW9bOi1wkZAXDpzl0ZjLfHAODFT+eNmT3zsP+3HiJMleNG2kfnWZMt0j2
vWkZJYEmUQ9EjraA1hisaoz4O9GknISxqjH1AA0zmCth2MObr2RTLEtlMM8sLOnf1jRwmCd7Hj6f
JnSMNX3P8WxiA/xGWHV/KW1zugNCnPbbthv1VcMV87aZ65KkoVfCoBkuIuw6VaFQuLkkYwr0sqio
OGyOnN01s2GPZe6qMY2pyPZbOxx4L106DSdlyuw6LxwrX6aFG7y4Vd/cdCLo4TZGDAo2uIO8d4w2
+XvrV5jxAxItcdKD4733+li/oZuKjzYbYXvktNtydN3IWwpvWOR+BWW3aUz3m15IUO/ZVDnHtqzN
+ykTw7HqIxbcwWg5hKspmrEXZQ/90fdj6CtF2Rrb1Mi6C7pf7u1YG9VJ9WnRMYl3a/5tV8/BTFTX
yzhUxj3W/v5lyIKefCqgS1eB0xT0WICdX2eD6RDPMklIklN/6mrNQmwYOrTnYsM/BAHMnUkPevQL
UbQhXsrc42QMUE0abbtxtDi9seGlky7ncyeBxtQfNBgiYgScbnrV0BQxWEGZKLATFzZpEcNwwsEE
SWr0EfUwtT9h3O2eRRPEG/royAZY/7adlxXz6uCGxIP4MFVwk+fMiMzyYnIlmujJq8SHCeCYQTYP
LnIeWqm6SxZVpdzm3Z+AqBhTLjYdmKLD5E7qI6MrtCmMprutyZyBk27ZydakLXQAlZm8iojRCtWq
CC4DjF/0M9M62lS2bS6DWppkG4I2XADkVkenN4xjlzGO8DRdIauPo+1oFQBSNV6zj4wgOYG3H65i
iMZbkqviQyPdiqvZVvd+n9dLwNNiGeSjv0uGornp7Zopjes7d03szSE8Pb2CjLw2YMHR0cUpxNww
x3OrkS4x4ebGGiadEwCk4O1/dnr//yFLwZAw435X2x0/6tf0ZzH3Hy/5U8xtesh4GXnjQ5TODE/8
Po6nZqPz5OrM1cV3xfb3cbwhvji6y4jecmYsJhS7P8s59wvaMN2Yxdz8rRnG8I+Uc0LOeNKCZgcN
ra//8a8IRkhbBuWgQ29EWm7KeW71Q1nnKWzlSWIgTSYBQPoFfi3YWUjz6EipUx5D4uDcKVjsp2Kn
Z2ZLmkedwLjMvJLzlNY+Wj3rMLC5MH6SJZOXpa7nxT6dPXIkACSuw1CvzTc0DN1LPWylu++k7KNT
bVfFuzXZ6tjktIwOSpdAh0hoUt0mgLVM+h3tigS3Bl5M0FZlzDQESfwqzNLgK9NSm6DLzpXmyjUh
Q8M6JdUT09ww5MdeS5x79KJxskY0O5zsSfePJJLXirGpLh+rqRePviPcuybU+kuGkAzaugnvpcz1
4NAZrpzzTkMc3i5Km4MwsG41xBcCL9B0Jg8dTPTuICgZiJug8tQOcgzFrZ73yt4k+JBTBvXggOe4
UkSHva07OaEb4eBfhg7C3bUdTjCnERrQIGwYirAZdbgyTkJabYOOi8PkEroC6j/6GgNoHyeo9WUU
ZwB7sfydhNIieq/RWJ8KskFsxAENMjUJ2QMGfx+Pt/3EFI62qojCTdsOaUuLoGXm1bPsMJDuy+Sd
8Nip3I+GItVsbBLewKKD+KRHTXyZaL63485Yd7obdxiu/fHCL0bvSuDibxeRF9fDumn04l6YJmvK
FGeDv5VkRR3KeiCWi+PrgIo+ca6TSpfv+uCawJsAGKDoUAOXxg1cipg+lula2Y14rFSkHt3Athgi
ojx0EfmjA16Csq+OcaYY4YcZRu3YrWhvsolp/R5EWUhwKnk8TPV5h5Xd6l22Vso0b1AHFkC+quia
PC8wSR2O/neDcGb4/KEYnSWZHf0FA9SQc4KZkh1nSFD3IfWMP9mMhv3OG7gE/uTtrU4j9beyI+Gv
mHfOSHxDvlQO1fAik7pJmhLpISTXEThjbXpGdfZuHDTSI0ZF32YFYW3qVqpDVlshPiEcAPbBocG7
n6ysEsvtonIRpi30slbfAPIMIIImm+CFSC+RaKH2Y+wt3EptgJ647HVm7l9n3UBrshyTfpMMfLFF
H3rImTGSlkjHBJaqKpXJVxXhRd27GZw5AG6qXkkwhYRA9VboYlQy2+zWozxbNY6iHbPo0oz0x0Vj
1fFDOXkXRLBR2qq6h24AU6I86tRI/BzlLh0R5ez0Ro8fctHrW4twqLUTWdMp8Jr0OIad2FSD8Cuq
uN7pzyOsE+PaqKPioe7plGNy3Rl216ulZ9LaPljA1G+DkEBCKPvdNvaNZmJuyi+lwuZ5BtkBLrKF
k9vzBmYIv9jXovLNRNZ8Eh1zpiWSXXzVZFcm4wNxWwjjqpEyCiH8OMhk0yl9xmAia2Tok8ElfPO1
KrzpVS7fkrSv6Kmzx4b7nhbndBklqQHZiUdGEZpRMgDsXZBxI/is1nT3ksHMdGkGapzOmqbFD+3Y
QleqTCgzG4XFGF+wHQqFTLAdWeYXfhO62qyJYYbBsfi1GMgSadyYs0+yAntcLXSepGVpK5qRts23
Xfwvu/RGXZWKSXw2lGSpdO3WKFHE/8/u2/+0Vi1EcMDE/8+qu9Nr0oSvX/uPj/Inu9Yfr/u+w1tf
DEFnxaM5Y7gmGo8/d3iBFM/QpQ4dGi/rJ0rpv3Z4gx3e9mA9OJbpzgziH3d4+emxYoiMCQf1wT+y
w8+82x82eDn3gxzDcXQDbJNL4fBL38YuiNatCTBZyZ4EwazZMiFNT0FWv8AOx5zt6Ng6QJXEpOj4
bqDoQuoPSIv0U9F0T2YfP6uyRq86zUK5Tu3aqr0C/09zVRqzBYcclwof4bK206fWZTJDSOMTuB6e
7/EAfZnDsIJY2ZekMfTx5Q934+qPOuVHN9rPYsLPL+eaJuWLSYQULa5fvhxBamE7jcTMDlm8Mnjw
Ev9bXpdXuvw70vev70RrDeAVZ04IV/TlPBDBP9ZJgVYbTocuZkXQHXk6OUlgGoZ3QgjLYPX7LzWT
j3+4ZeiDLIlgaP4/KFuWFL/w7EcZ9ZnGyWOVy+7d8SsHnVP+SEIiaxdBqn4HSzeVHYfaSpYrp1PN
UpdEMyAfCpHU9+2OZv7WirCYM6XO8+ys2WJa2Xb9BMHvWEjnVYQrizUN+WHxVg/ZuCxNenZDXp1G
K+AggxgS/J1+QMfT7E1m8ksiKwbIoVG/Cv3xVXbTc1VFL2blZIs0gcfw+2tgzHfux7qULw9zGbyX
pM9p41z8+Xr7thN2IyfkVeG625CphpEN1bIMW3z/DDKLpzKTnBABLALSGWZngNVlX1Mt/Pj9B/l8
o58/iGMg3jIxZFrwwoxfPgjxckOQBTYRS+0cUF5V45IB4ZMbNLMLP32HJXO0YkaYaXqsFYAPe7zu
/NjZmiVJDJknrmHz3M7TYyxnWytwXqc4eMlGeASpffM3H/Yv1TygNRYhpAyze5TF5eerlsdkAyXY
oda6TtyLzYDC0fs7q9NvK02eaeDdNcQexZ7cTZiIo0p/wFNXL5SFWJWubD0h7DJI4GCusJxIHwwl
EsMSp/nvP+df7q6DURXcDOMuHiW0yvMT8MOpg6rMgTHraCuy7m4BrBCQmmU94qDhsp8PBH6DnDWG
im9JLCpgRF66arods3qtKM9+/2Hma/LjDf7ls/wa4IDmw0gBl0KbyvGGkDuaYHHH+o9lUWzn7tbv
3+5zTfr1/bDw6hYpgKD5f1UCOpAy3Ql95QokKJGjQVkA26hXKsN8N1q3xPEIUFhZseoKLVxWmRNd
yXDcc8h6cUbGcDEUg3XQQ57NvfzJV7juGwBYcXNHRllyRL1IBAT6fkRU0bVHBb2ihKFVNZ3cFqpv
TNTXojRyENodcGRRGGv4J0dOsEyyc5voTas6pRWx0T49jEXpNc2uBcGxLmy6qDY83IWoA3PdmtPV
76/Mz0ssR1F+FFIwomCvmmccv/wogHykTdFyI+h/rycr2MTlxRC75OCdf/9G4q+PiaNLVO00iHgj
YIa//PwmdOTUwuHajB2sYMlHbhuMZ0kSA7JgqpXXhI/x0N9aFalsarwxR/HsEyCM1Nd/qYlxz+2G
OJxpketzxgud/7YmzTrd/v5zWn/9af78OX85nOu+h9+lBE1EXuFpNPoNcgQskXH25LNBw4IgNhhl
QMQkPyTVbsjP9VCOaCqqp2DCaFv0k3aBewr43FCZOzpN3ZlUGHLIRZ/s7Nz1t0ElrcMk6+QBZxvN
06q96AoOG1apILm1+EA1hhP81HhjqXf036cRM2ZliQUwWMBdVZStEeKrbW4Vj0Mbv/phiQK/7MeX
0VYPgo7bCkRZ9y0rCcke/IDoLFUFRzzSE4Tj9OH31+yvPyKqHeQNlFbMu9hBfr61SetRbpi5twps
HyFxwiLYLSOTAJNSbH7/Vp+5Fj8/yZ81h2PO/RuDLsrP7zXEeqUaswC0KibzoNT0iBraPJY1Djok
r9YirfCd5uO5Cb4FDjPcgrydhfDYYPu2qFeEAUluil1fGd74Nx9ufu9fPht2Q55abB48Tb+WfWnc
wXND+LyKM9KfMXTZ2nGq7v/mCvxaqcx2EZ0uFDJ6MhWE88sVqEUSKICcwTpGQglaadiNNhkGvo2n
IQrnpoK66YOyfE0r+z7ux2ubYFgmKJxwLEIfSToo0TdH+dpphiukF+Ep1SDD1vAf/6ag+O8+qXQt
NkV+Foz3fllc2tj008EmRNKVBatKxHgvzjig0fcJdLDuMnQ2xIodXXSLv79IVPI/3wmsCYKRnnRs
dmU6vj//StBDtlMRFMRXls6D3zssMbRwPaIDc3GD83UZZdXfvKXx372nNJgR07xkn7F/uS9eNhKY
lNjo9it/y3kep0dUDoeSfuNKRJT2mXoPAY9VofUaR/JVTAIsj/bW1lGwDLWiuHCH/FvMgMwoHLpO
d7+/JNZfFmBXUEwTcvtpLeIp+vmaDFploKlpNeY9ahXh2/Vtf+PHPC6YlyWDpgm7DT+ifhCoh8KD
muRLU9TDBk7ic40ydIFk54ZO1DcYrptsIMi64wCtJdEVhpgtZGu2qgLxT1m8A1V3cfYGmy7QvH3B
f55Kqz/gMoSngpB0BLO/SezmY8z0OzVaz0aDv3/MNx0ZEVaA+aYjLeJv7pDz87GMzY4hEMeWOViE
Zwf/5s9XII+QbJHP4azwoN+JzL5m5rBz8k5blCXweay59Ro2/ZkYMMjw5FGmhU3I95g26zZobtq6
v6FDw2ZAnBb9FQtgTM0G74CqwN/poO9cZR4zO8NkpNO0EJJGFu8KGGLdS2N2H+CltPoV85FXhL/5
QgbubWeCiBDR2QjMVZKidYVR0cV4zXudrhn9jq+kzpUrJaqLWkUr0PxLQ88gSAynIY5PScpMF6Hb
a9e2K800AyKsmay18gy/YFtxBlkPYKHI3ID2aeWMdQezWheabiz03kATlA3AxxLQR1bD2FKSVaYb
KHrK9x7MXpE+ORP8jfbj9z/Gv2yyJMWAsNMdjnaz7uKXlUHJ3M8drPkrUyyraWc7u67YVYh2i++l
3/9t1PQ/kfKFWcTvlS+XXyMaKD/2Tr6/5I/eiet8ocFBKYxJ+b86JN9h08YX6LW6ZRu6RbLop43x
e+9EiC826yg7m6NjZvzkUH9H3RjOF2J6DDounoHXhmbMP9I74UHkKfxxF4WXgJwD4g79BUYLsxbn
x3NK1MnKtQpMUGi06CYSSUkWGaIE/Rw60OZrh8pbASFcEx0TZmsBre9kyDzdsNlUxySODUgjOiTb
zow8lPQlBi4hWodECXaCekvqFIWjEaHx8womkUEL7IE+fV8fcm+snqbITnncinQfmWm4y5K43qms
Q6k647qqKsgviVmwwKwHbeetbNNihJIlAvNzMVqqR2FR1/leuKl1jDgl07gtifP0lamdwSUkFYNV
lnyOqYP24TcKr5jbG95b5NUucxyYZNAgowOgFdrLAEeLE85T+YhLAf4sLWfw9Akja1KLwbsiwMCJ
BIM7jx/iNn3uJz06R3V0R7jxBBkn6+CTyPpVyik8WoLOKzQZeSsJTznrUSy2Q0dOLCBBnNug+Pfd
qDH073RmxnW6YaI1rT0u3RquVbjUiGRZ6AgHbuocUV/iuWe3GNKjCNqIAxGivIB0HyWL6MZ37Zg8
OYI9YAqML6Qxy1PIRAhNiK4RRB3JBCFDTKPpkBQR0s5GNzFfN6oMh0WRogrXZrXegosGpSZNDbgE
5dBTPmRIYO5BT+tXcsRd6nVp6u1dMKdzftIsZjZRT7Agi+a1cELSX3pkmUcZYGJf6DTmLgs3Kzjp
EsHIpL9Gp3PsOY2asE1K+tuaA7KNsXjgXTVdIMylbB3L3eQgqg/N0EBDwf7BbJzIp4jxRcaMnWKf
HR6D1gU9eHERMbd40TpFlkHT59s81gClFGmX3lSYF+7hjNtru3WHU9Jk3WVLSCu3ksb8uEAagE9e
9HV3S/B9CGYXP+WjwgjzUJRGjR6xr41rD5jLpRS0XlZ27Rc7ZTvpLvOsnoaf6sbHlkz5N8Ym8XWD
J2NtaiGQYHCKY3Dq+UrdRqVGsbY5aJLmgqP2JmQIsaOPru9kEgwb1PdkmvrJvCKXzhxunLZs9beI
3WlU9h0agvCh6FGvFMnYXaiWawxWPX4enEpd2QWRwbbFVNCt88t2MC7McTRWiRomZlKpeY4rjUuG
2GdJmEF1BgtpZtvUtlue6nEIt31d0yIdcw2lVgmocVorxl4TSc2DvbIYo304sf/cYp04AVLNz33l
DcCk+jhexJMDDZTJE+O5AZ3o1EDGdtG1XsZNo9Fh6/z8qCLscBuie+An1nrkXJN22zwYMBJaRPup
gyjGqJ8GYeXZyqiJwVsQdSWPdumrYd+7olH7vApkhHXAdMcXS+cm3TYoTVCy5MXXFM6fDOZcGVkC
oO5GDwEtUzbjUQtoa+3DGAIZDtcOj0RhWon+joPD9055wcBlZYNb51bMhPdeOWA4QGpF5lI3uvGe
YZuxslULOUIMEExDUmu2zDHmqF7mH/EmUizTC5ZoPVk7tkofo2jot8qr0Xaz2D+oyutPhtk2FwBk
8vu0tgEcBkIyQXHTQf/qOHTQmsFPz7WAn9/Bid90bQy3kiGTeVkYw/iWN77xnNYUIU7d2ruBp4gV
tgw2btyWd30kDKzf+mRjYE6h8H8NCEu5ntAFfcSk7uwSh3qm7odunQudP2z4SC8wDE4kmwwBXPm7
iPRrl/lj4wbLNizc4WZsKqfjsAJOYkPNMFn7APTXqs1rysQIkIjc+WLg1JUpGjTnPHNKsc+YEmZr
W0RIaY0kmO5iZUFdZ4KFr8KiDRxSBluk1Qo7JzHGRQl1HuxCY3vB6lOSvJpTe3GcFKVfbEevmJa6
N2uh0+AybbL0hEALxyjEGA7rVkDYGhsPJOKmPGBAmBpIjSTtjsOQnYOk7u9tUNUnct1QnCA0LF8U
xH+JJpxHYtH02B9XDqE6x0DT3GlDf3ceQH4m/Safqb8QJcd33aroeXbJ6L3hnjWyRRnDx0G+hMZn
MVZ67m2lMwv3dIJlxiUSaAs+JebVm4acBkGSLjG2R1+aIa4apQKPHazIo0sHfxRyL3zBZNCU1r4v
AVydU6vod6YteQoaLTsWYxrtep+sqIWGsWkZFyyTeh+2N86g2k2T1vpr1U43VofBkQm4r271IbFy
mOqYBmiH1Q6qQNTSzUJMiXytg1FPV7iV5WOtbOUtLVnGwS5ppy5cKzLeoKUiO5xYs+N2qY/9+MFU
X79HxdTftl7QJquiG9tbaereseIZXgyasG6MprIe4XBlRxZs69DgE1jYcR2gdR/Pk5daw1JJvOGu
nZwmMs9FywO7aIx0+pqlBbwXZc4QGuz60r6IwqzRlhm3MliQ1lOPm6Ym7HtrpZb5jcJpVJtSc7Px
2gQ8fG+HELr467p7TIxMBltIMuZ9PMSsd7Sc2vJQFfMJo2agfqk5KsVOApnvsUy9bGfkhNkQVKDT
MrI1owOTr/lARWRIvbZA2YhKv0kabjSZD3F22WCQa9du16TPs1Pqso6ZeDJYVpIY5m7MqSG8gdmq
k6rnCkrspRLAmQtQzoijAru5bSZLe0UrQ9iyrZo54ikIWGh0IOPLMBVVtRTwiS751tXBD+H57GSp
9wOEbdV8NGmomyvkaQEjVo6czq4YW+Jga0UQ8ZJJK34EghdZsOVkaA3K16w/O4NeTkv8LBLfmG2U
Xw0OrAkekK44NCGcnaXVV+8ujYFdCYPtXVkdAWfugJlo2QqNqCt2pmldYrSa/V168EzOfX2yyfh9
JDh3yglyJxW9M4p7t+fgg3Y5CqD00bQ/ZnUTr+OsixVKlvwrUwewgb1fP015UezrKuGed+gkLoak
ZE6NmAw4fZHgcFQxzddUusm4AW9UXcXRRCqS5rec71OwPTXoqgpelUrq/+TuzJbkNtIs/USQYV/M
xuYigNgj94VM3sAykyT23R2A4+n7Q0o1ItlqqctsZi76pmQlkRkZEYDD/fznfEeianDewXVjriy+
Crg+Lp882Wo+5DXN9pMnObvpN1lCIsLpgP9v28hmMcJsqbn0mHl00SL6tmNVJgYNK9qmzNuwKEaP
zbwKRynj57Hraybeab/vXWFu2q5ssfPiAlhUiqMyOBR6QWCMc2q9sxVTQNJuMLOKmcGE5eOEnKra
3uqDxxKYVcXwCUJPQf2AmEOe+6wndFOZp8S34oNIyvbSQBZ87Gg3C0saCyMM9DM0Jrcsw6HXu7ek
r/wsXNLUep8rCLcxKLeiWV6YZn4bs3htKNITDB2YBTa+chc478p3NgGGp2Yfx4gmmyJLcVli5VF4
0nv9s2HzNPqUdo2G3Xa2nFtrxMC0YJDpt1YPhuqQiJZirSngUMxCWxdvbeIwqVpYICIUVVltXD+l
vsFtgvbQ87gIBc+A40zO6b4Jsuk5FvPawFya037I2WVqaX2mQjfVNp3IU3XQhsqfNz2FAjR1mMH0
SFSFSaDT8UuDnK7emF/1n000AOejzetbb2t4nNEf+Nmz39+xAum0NuhWCwOM/k5gbFNAK4aRaGsj
QXBLaKh/QJTH0Ri7BXnISdXdF5foKqblNifYxgZNvfj+3L7LxOPu8ETdBWduPDaGWZ02r4Erh0eM
+9aFWZJ5W83G8IT5rWi3ViuBHll0nfCcTZQTjpkW7G2zmQ9cPRPqTarLrzaEquzQLFmA08wD4aE3
XrsOpScfZ6YCYBxR5qhtzDWJVZYVoTxt8GgXxCGH15L2yE0pS75A0ViCKFKtGa+kc+XJoDICmGi1
YhP8dQsGiIP9QLXQaVDqFmMe9oSkmgI1XFTMmHtDpqrVNosZ68E+re3qG4tE/ppPk3dV+tSiIhh1
9ZbPTAfz4WdzOAojxcFBbDaOjLihYTWn6kLmUCmzSQvH1jJOBpnljU9KeJM6ctqyqpJS8khbQMAJ
Yhvffm6lYUKJwVOelMHXJGi5tXv8b2+zdPJL3zoBzYLUVVKDOvTGG5Yr4gE6ObtMK8xdS7onnGy6
FBoMwH2MO75binyLT6a8sfKlvm08iicZXYI1wJ3DwtI2OTmnoQ8dFsnXoNTJmfnUy2B7W95AFzNg
an2VrLad/K01Gwhsc5k8yMqgqjmu9IdsSjj/eTxDrgmsx9PeNOoBNJxniiLkxgKhBdSwDokN9ASB
E2c7V5PwNwCuYXiqsK4flLXglk9533e4GPywsVsLn5QXeGeKE8qKkKwon4fUSg/zwuZiTbYvaUhe
Lf3qWi2bxSb2ac7xqn3dWwu9RWQ8zokI5K1rxClxvUl7BPACyDmuukti8TbYGTHsGYsUpOnEA1ct
anw0Jxx8fKExx68XL2e1nQObrthm+QfJ/Nf5BDYRHR0BpenDe/mhjP4w+cS1SO13RYwGw5fFs99j
bj83rnbuaT9Y6/Di+uu/p2+h/2MCQWUMSAd57kp9+lHD8C2+SqsVyx6gZX7XTou4ttM1TVEb3ilj
Erk31kTO37/orwL0+japdUfexPOKUf4X0dvMjGaJvWLewz0vL+xrxC1KKpq3DvG/XXrwPEq5x2Ga
ut/lvP/bItv/uAZthDCT1Zrr7b+2M12/JniV1wvo2weUbLUA//n3fpfkAuc3GAhoa/YfITM0r98l
uWDtf1tHCriduJ701Wr0L0nO/Y3iTIQ6Brg2NrUVf/Mv+rTzG486l+sAFtgKEPP+HUkOaM7Pkpyv
Y6WyfIYHaxv3em39fDkv/mAyhsyro8ooY6y9VyZrAciHvrpObQUquJQgibXqqWkL/C2F1PadPpev
s+14V7mPsWAe/D2RfNAL7XRL7Sd+2dp/SuwKOiCU1XkjefKF1DzS4GyPd2OPY3UyLeivrSwfBkzP
YR70/QG6xUs+YtYd3Cs1LCA8nGybQp/eiDG+k7ALXLq94V6z87ByStrS2N/1jMtQ350LuSr31csM
2m2KYDs0Jl5hP1iueDTRxzwJbDWlWpuph4PU/GmHXsLsMPd3C2UyCU876Lxd1bJVM7xIJj076mC6
Y6Bz4Bv8OoGumtrqUpFTUoN5n1XOuenJVVENjsfa/O4Y2XzS0hhYWI8fYQ9y4yHjs71psqrZjYvW
7mmUeeIJQ3R2ukiHDzMQrXXJFW85s4pruxb7NQkLRba7sti4s7trKsCu4r01Fanw5yGwkNG6MqDy
Q55sIy2v4SBRtayispMUMkWqq+wuNPz6u2CHHQVuvjM4T8/+es7PH7sgOaYtiefemxAWWxqpbSih
2pIfNCXvNNMZtwmH8SeZLc6RfcO2leYc0TRBSxG13qhANHU0SfpQV/09Z6K3ldu4SQa73M2zosYT
A/aNY/Vsq52FHQLyQaiI9u19QS4c6c85msGiHmlCuLeKzgYbh8TKTDWFEFvGIDGHQbR70rfJzexe
oQI/scIx/Mzd+nbqNU4L43iV6PZNinudNvJPSamuS8pxQoFHlPAt05l+OGrsRfUl+TQlU3+es60i
C8RXNVz3vfhe1A86O2vIkgEHMo/8tgIqvBXG1p7HUB85tnfgA8J4Bv/fMpvB8kprBEN85dG35vu7
plPHeaABsHo2aWLetGmlRTMhpaTPj52ugU5r9ScqujjjqJEZTrqhQa1O6YqgPd7YU1OwwSLxamO4
BY0TfC/z4Gp9XKE4nTCo3VrCD8ea1FVh3vdLaryMvc7fyRpqpmTgPwRuvWN71PFzlQeoteq1G4Bp
zi0dxGKXBUa6ry3feW/tTp4F9d8iHJTj3pYcxU5WPKhzbvf+q9N3KdjpmhOMEfhour08lsChP+VW
sjbUyyG7QPzRUbaS/qC8PnkcPI6eXKq42BpdvaiChBhw8eY2Jb529Ly6/FKo2HtYbNpQShQsQNBw
S1K262eOX+6ODeS0ExQMHqW2zJDD7OpxAa/8SM+IPOU0Yz9xGh923YgtZtO3Qf8qYhLmHbrNtT0F
zhVw8/ZSjP50Z8jaunaMRZ6E3hsvRl7KrZc0825GjTmvbu1jnwbODV1G6TfKwKRNaFD1X1viqBMQ
VT71BdjDVd6injlgqs8lhBojbMZRv2V7rt9P1thdG7FpXCraQJ4UX9ZVFzj9hUvFu1iIbRds8VTX
tNAGwpXgtjcQVa85KyZRKoS6yzlP14cfnjK3vw9MfrRpWh+mpj8HKb6NEcG08XmxcLuUG3wYwn7Y
9hQFQqI1gE30k6QkLdw34zEfxuEa2bSOZKzPgIbBnCrTkBGVXHSUMTjfOjNFshTkPbnjoO3AjVJs
7OUDKyw2zMhJMn3nAgQOKdxOXgS0+ZlrLnFuSXHkZ6FX115MmjHrguW2dYm/27FfXqmEhi+upCdI
qcjdGNQOSBgcaY3B2aTKeex7CK4SBe+GbnnoPJOS8WM7Taa2DxzVMSDwlo79e80PRiJPg5ZNb6v2
9ZLGEpY89PS9TtVNvh2BdL1oBjSSqBsTlO7FqJ/QJfyXwUxOQ7ni9Uz/XnprLZOAjG+5UVtzSOoE
eRFCsZj0qvqiWYl9UJUBUkla9+0sLmnbP8S955MR0UmjzM5JKzmKLKB7toXBuc3SAL/gz8fBnlZn
FJbxHPcN8X5u/yxTzo4Gxt3EqCLMJURd5Ixm001u8p6OznSqR/D7Gg3Zm9pDfCJhwnkiMModyeD8
vl2YLlOkUl3LZfL2QVxxKS0eV9XCnPUytY53ocxluGSOFlxJB0Eq1RPzkmRud40rQb9vGOHdpgVG
jTDIRnHmu54vdetmV5MugisDLgJ74ykdvtJ2Otoby7PSb4hidTj38bzr1zuFzJ579te7x1zvI7ne
USV+glMaQ6gt6EO/a7us46Bb83xOB0LqE4/K2u2H105VGPtkYA+7Yr2Dg/Ve1te7mk1r/QgcYr5y
DJ4+7QiHr1vXgWxdEQhjuufWxlY0dvV6HXT+A83K5ZdsXU2WdV0BRtiE9rrWOOuqA0mEfpp1JSK3
2B8CraXI1TeyS524LFmz6KtPPQHDY15UwbEVEzAUIVMOla7/mpemOrex1p50t/BuU7rZRRjwp89s
QNx3zDnAFHNX7MY2c2/509oN1io3NBj+EapkfhoqqcgZ6XGPhjAsATsU7I28bT8g3gD/08unnZfF
cx516J8UgyVWrw4VUZvxuvZypoBO5zCE8gIwMiZ54eBgTEGcrxONpP1kBpz/+DFFK3BEW4U4NEk/
Jhez1BMmTUNGKlIKyhi20K4VEeIuCxDHiKDbNNWkKgGSP3fJtlqchee1w1gu7G23KrgNcqr9OmHd
WIhAV0QvHCj2nrFba3G3fW4b98PSI9pZC4fRfeemMMxwaSMOxXkTkKxv4zfUGoYhfrCW08EUSrWt
rEp2QCvYmrEBy+bnpSyZaiyUK7C2kBgLuMSMzrj0ljDvC9HxudTdHWl2kC95PqFWwRsXZn0YHF/f
5Z54EuPFXTAyJLF+xYGovbKzVN/gbolD9qhw4fpsBZGiBBmxCjZQYtHymnbaWLY3bfQx/9KCEd+p
fHo3agjTfm+FfqDM21jvputGcI+6Q/+WeW/YMoOTMmPaCjxlRqPgMWA1HR29nr730uaOsfh93uAt
nUv/lm68+JBWHkW6Va8jZNuEhCkPOpRNXKFNkAT3tfumkDzzMsO6aDz/t/rSvmPD1NbvCP+Gai1U
iOmWx/nTYrTZd8ee0iMBNsCLZbOc8wIk0Dw14hk4vIpyo1Pfg8bgGpSEji10OUGOGLnB+39kpvgf
d85bMyGcpv/rQ979a/46iPS1/vGU98ff+iOxQogU5x7WMAuHhLW69n4/4bnBbzZBitWZtMYPfgys
gIFeQyl/ecKzfsPBgR/DoR7cB+38bxUMcS78+YRno46sIolPNNVDQfiIrP6wV2j0dtYYuQ47vYI7
tdfieYivzNLBfj8ARzvWPl12Gx7Zg7sPcgooN50Lb5GylqK6HvqA67Yy4Q2bI7jLyZqti9sFNGGD
/SNU6U090v8yOTigc1mZ8kJwbye93CIA33mT2FNuRkByHFuK8RJHm0ISdPEVCbi+R6Wu3SM7jhYn
uqyqdu/yaHyBdj9PkUE8Pdn6U85sDlAcxyS9jpPL7I/um4Uwv0082gLmMYC4VxjLVaf52rZql4It
LSeWloKg+xG77/to6tqrqueyeuKQ4b5Vhag/w19J+lCZayVh5cTY3hJ7SL6Oupd/oiRBdBu6Odi7
AzMs/D1Zlflh0MmX86zvzYvOPPyFOqQ4ahc1v1i+PUPNp3P2OoMEqkdVbeQj51WxkIs02UJHpcAy
HrnYGMrNWEH124z9iuuH6tTeVCyRlEIaVAq1jWElr3rtM5vIGqUV0I07yZAK5wneY8N58YVBfkNM
KcdWm5qCE+SCFZtcjXKJNC8YrbMPxg/uNQMQepQMIu62qOUnKQXjFVOIgTdQlDbHv7mvdh0GkzdL
SKZmsFpuy6y3v6aGMT8FbDUQ0FXM/GVCpD21xQKBwGpBF8Tl1D5XQ81xG6cdSCtHsiRB70AY1hfp
PKcyEc9d1xZJ1NG0x0BysZt7w03yDnjoMD+PkyhvOeumd4WB/I89XgSHNBPD3tLn5HOezOs03XRA
YUcZtYbkkpkwf5KiHfuTa0yGFiICa8YOhV+ZByBQ+aszjDwWgCcm1tlA8EbW7wGAZ8rACFgRIngc
urXAIaaIpt3QAdGN7PgGKp3JFGL1CZQ/PEusp8tanDe/sBfwL3kG8IKAbh/L7Yju2XLB8tCA6OtS
d0j+srb2U9UABQbxZFE109HtG9EAOe5two4XTAsw5YbJfypydsRBkfKqWj1UVP6M1XIb5zge7ueE
qiUZkOHMOte6NdJFnOdRZxZUDsQINgan+heoQcXZ87RYi4yGHUsrdC8yamAKO+Zz4pTF4B9DfUYn
6J162gY0K74ESW74dIVkRheSL0vaqB1lAN+3Ncud25k9FC6M5rumT+VOb3TQNPjcLTo6J5Hc24u5
YmbTPPhMmXj3iYyY/+aOvg14YQRhqmv8cKzIBZs0/5OkzavElz3BcheG/eo5mavfJHbSuMyoJw4K
AWTsGzZ7k8I4Iu1TP9L5C2GcjM/O6lv52SF5/caB00ex8ZRf7nvWgXxH2ae0DoUyFSB06j2Ap+LS
kBsmLEy+odOQlG8yD49WCkCAnSDZ2jScHZno26wg1Lrpsna6UmSBjchsTajBgY+mTWGIz20OzZZG
4oKwHRkNLtjXxtay10JrtfhgBmn5VXWUU+Qkmy81dziZHggo772L+9nzWmc/kxB6TgPp0lYZW/Z7
L6v8xleea5/nxc16Wgmb8Yu21AROauyYht4EF58J4hNXFFGAKuCqrPul2fEwUS+FVCXsW1+fMLKw
0SCym5h7BuR1sLqu3vMeV4WXDF2oUgWiL52R2GVuyOFMG/HoXpLSXR5YbJzqES8XntSc5iMz4YLY
uV5HVVPSFp8zOqWwzgmfYlC9rLRPKHvyuhgD/Ts0YpwOfk75F3OzroT55yV0a5jNV2Ehj7C2Z6a+
B7pQ+M/2rIGAlOAMtJ3E7eSRXe65zSbQCyTdVuLQVe8pcfDixnn0KYkxOJRKhtqSO8VG86m3Q96k
9L5mXxJhVAcLyPBGmK18LWfZPshppIxlYB7lzI72YLOcVYxnMI+gKS6YXJKgNLdEh8dXZuOWe8hm
q74NCg1j2Mg84mjUwjl6Zbd8FgSw263RTP7WAG9ZU2Yp7OxBtysKnEZA/88dJZf6RqZ+SU45sI7F
bFY58/ulZTmadOMrkELvBo+E9UXTxurWVFC2rG6Wz2Uy+9ktZN+KBcVMHCrUnan+ktNlc8DLMkMj
ndrsq4tNIUyzvvG32oLFKRzpm/IeE02O3xEJTcxfVdV9cXobvrAYBlrmY0qnQuaQjQizOXZGmnNQ
50q0KiB4o8Jw5CzxrezHRScyHidjhHeZVYu6W+yFUMx4cBfxQYc4uzOroAztIJ4egF5RsqOZULgl
UF5c7ICbDX/ctnj8TnEh5MughmnFWZOdwltTIeqt96GGq8irLw4k8xvRufey9ObIcrtPTYK5Jk7Y
7wIF9SHzOPE5s3pZoxLbX+c0BzuYBn6ICRns5NhSPaeyLwXqOhkY7xvFZW8isbW9kYFQWCFmcF2H
jDIoJ5ntT6LIOn9LZy1XbeoMAX6Txp6so82o1QoVHpr2ONkxHhC8IYQiLM2lHAiJkFNAgl1i2c14
e2b0OP9r03QN8pkhjOe09TUglZxXnQM17f58zWi6/hpjrGTqTRNNaKdlJSL8mc3FFrnaLYGeHwrO
81tzhNAm03I8M1qDRs4NMUDvyfIj0SsqnfLcuy8cTvrOGJcRCITinaG6+d3PYvFCY+8QzYsa3rTO
asJice0Mbzj+m43txO615zYIt8FUG9uiLjnQ6X1dkFzKG017stMM9m88jfSU+9gX6sjssnG57lbD
5LbigsGy3jLx5iAlLGMLhmg+thT7XXfG6r4oZwsFhbYduiJXGYLKd2v45q/9ktDJqZokv0XzT4Xq
HLIijN7OmnX/ZvloqVnqPrialja46B9NNsKQ6VvVDtTb9L1GgRcWlrfWFEwFRNCoL/pHKY7CoRWE
yO+I+xK/irev3bVIR+hYBo4Js8h99dG3U/ApXxng3qjFLSwP1OrsnooKVyODUx/pzjWHZzZR2Eo5
fpvvQ6f6z7IR6akkpQOf2/RNENWqmK+Tfi0JKoNe1/BbrAVCg2XkN/KjVogJi4haV0uXyChE717G
tZ3I4dSLW4jFbjdNsEPZunhdyWN1rTbCk7xcOSW3aQiQ2gfnWrp3U7A00Iktz2P6mzVHX/O8z/nU
yfwAL6W7G/M2aSDFmUhD8qN4CRqoym56I06uYIH1MrTgeL86btDdmURx7+MBXO4mNldkWDIuFsWz
0uQ6GR1GzYVVSh3FKY/6tSZq/GiM0tiY3tGXOZ1lzMcTgoBCT2cZd54LCodZI5tUtbgK6wKE80dN
VeLkzTezr8yMk/laaZVMH/VWH1VXsaT1io1CDDlrxmBKneCgb5pu7cjixJFUMBQyBHF6delpZIGm
YStey7aomaR3i0AdbTKNis+1HMctt0D/jToz434qxnQg5h2Ud+na5WV2evBsrv1e5hgE36Q16k+0
8U5n33G0F/iyWhfGa0XY1OTyhfWX7YLdCdNGSx/yPY4XDD5TpftHvU7UJ9iuOMvkWkTm2noroMTY
ZcUioFM+z+GfUjf7o9cssXCasFPWC/uoayW7mAHLAWOoj4q0j7a0ZkytYzaYbrmjVN3BWpd+eHnT
tKMZxqLc8LQI2thATKjuKG2aOkAvoypEMoDUN9Zj9T70vg/+FyiGuaWXJ3km3JymIUY1dBHKBKhj
harRp/YJSzr+WkvL23znLNM0kpmAT6a9Nv3gHVRulj4UAFLO+TGllAZTzzJy3Ikw2jf+526eDP/e
adiX7AOuNEKGUEwcGldi+eoA2hlUwjhoEtSFQa/xqPmzG20/w6dDyof/t5ULhrdLipsNq5tlj9Y1
Vmk2rBaYORq9nEed581yKmIV3xUBe4LbUkL1ondvCVAjSxsm7D6tIEVuK8AHW5OKJtdiODGO64AN
a77KNnXadd1VujRsj1rYRIBZjLYCWZ+DYDk5AMHSG3/yJDZoojTTAXFaRPPo1He4mDsNvzx7kkdF
Me2yDzrlWLthXtLs6Bh5ln/OkravDlinldq1ha+GL9Wi9Ncgywt30ypqgr4UbgLs2ZsTw2OTJKw4
4XufMEDjAxnYZvYzaDrDVCDUokSZ+hcLrVyEvegBq3SkHqkAd1QA8buhHQTpkUkcUnK/NZ3BOJDC
KvYCwxUwRprTHtJaVOto1c31Xdq3YEtqWyb5VYNURXKtMhqxFQXDoU5LRy0SyeTuFQ5RmJA93Xi7
Fht9F4Kn9uJT3UnVmZtMmLra8GSooANSBzG8zAXb7babVXVVwjulLqjDj49RCndIe6KVTgG/p6oJ
g4ZTeekzDyl3OML6qdnm6BOguckiMoKOPYzVUwrPOn8DiTo2d4kUCoW3JUKQdjFGTH1wx9u8C4KX
nM3dWnEnWjJXvB07avpMLQcjwRl9TkEWU4EAdsDeLODqd57ZA55Z/F4740x7CXL4wZsO2AOyNeQk
OqnaL5o1B9RL6MttTgt6PlJ8HgHWRlnG8ICvZbHGfF/MLq0IGZnXs4n1sOCK0uLvS8Ze72hgH9ci
JAbyGqJM1btKesvCFYEKy95+HE5wROWDxMEdUnmHlmg6qjqOVqfZ8HvKe5mAZojqYCjOycwdy64l
pr4o9hmehQh449vg+SidwMl0oPpuX3kMOTnXHLKBVstwGImqwjBM+D78JXfoykiMG+VapXkFdWtM
Iv42MES7HnUtou8E8bap0tkIMcetNuna+9qx9GfbuTOHpwG7HLcX/c6vFV0DR20oNUgVXkyrSDnI
UFSLAYSfKpsyWirHuqFlxbrvssbeg/eqjrmp9OXNMvg4aEzvMfLM4pFPPjjYQQIKSjQecYFpGY6t
Xs+vyaAnz0pl4pMi/5LvjdwwT6NleEcwx4qZhI+ZJylGD5Q61kAdMD5xNSZLTgu4s4M5fx1ISXhg
sfwqoOgonZ+B+QVn310UvYPFSkMjJD11UcthPxr62O0iQQMjYbgs18dokj7dZHYXuNsPye7/m4tl
faH3plWEd2DT/+//9ccLR6/i9af/s/3wgdzJb726/zbg9vwXG3j9k//d//iHm+QfKu7QBh2yd/+1
cPmQ0T1U/aha/vFX/siK+XhMsH3YxGgd6CB/ypa+/5sOZgeUAiHkj3//L1uKD5qHfxGgZxmOgz3m
T1uK9xuJP5PUGUYXDCuW/+/YUlaK3w9BMWAWNiExh20ESAuoAs4vrhSeraDfAJsfbKIKJxjpRZg0
2ZUN2ffkzRMUt25hDr3WPFAwMT9lU5GcAJwjM+kijQx0FETL0X/P08GIYhap+xpK2rHRWnEFUDf9
h/zpz/6s//z7/uLPcjRq1zJfGYBZy+mg7NXBz/MPBTCO9BYVzewCHT+DHv8D04BA5T98VKvB5wd5
t3XtquXJog5ZwiB3QcmhHKDD1wKcdZtLrYnwxmsbaTBYKkznZoYjt0HBraLAC5Iwbx1G+0vtrHDj
atMEnYcHMb2hDlEezZZPz7Xmm5Ln5FUspKKApcHM3tf6YQCR24JS7ssMZUtHoxKd1iKflP74mdYe
BbG/m7rbJq0oWhKVfBgtPSEaxXaiKHFllK1ZnapAb64ICWRXPaLQSyonERla21yw8phbVS3djqTO
Vq/f1YgToayTPfEhBqlBytFuMvQne2rmozcSjS2tEtP6nGTMkSQaSTCQ021M+RkWnI75VMt3S0P5
F7oIzN/UafaNmT85bnwjFV4f1lmeFdFUap/toQ7OoswrqoeDT8PCqNqB1dYrW49U6pqXfEmuqoqz
S4uBN/JVjtQos701UZw3+t6rqPDfjKjiGzPIT9YIX9Uc1Q3+H2c3dIVgvgpqWqOp6NSCWIThELOz
KLPrBhs/x1Qdb3PzSKbhRB1HHCU9fhVYKqaWhE3eoX/GyGCW3u3ywmbWn6zV74s50kbq21tzwppc
z6qI8GA3W94YxpqsFZxsXP3LlPQ04iQTRi0EJcVIK7ubZGCduGs2mSbPTNW6ldYy7kjsPZIiHO/m
amYbVtkYYlyJUj61Bz3VHnE6ktPpiZv0PNE3adOkN4GEZjJaVnkJUnvrFGQ2B9+NyfG5+l5kaXy0
QfSFvgmwuWswsROYd5Ds2zUADT9YmzvYsjjrcWGEY1odF6u3YJtnJVllrubZQWUCf4Va6mM3pZBM
nack1cM5E9keXOGb7dWPomDPhsdu33U+WGT/Udd54OA/4ADHZ+mwe9mQUzy4lpjCorMohPJIBNLo
Rg5I0p8QxBs5YmUAs+mtlZl713mu66EIewuhMHXaMuIUltPRovnUhuURsCdIiJ6f77tyujdqXT9r
CZBad2KWQe8S9PBW4MPFR/eQW4YWUem3nyf7ARQvXiZ/Jo6iGHQWMr92/RmWTEqroWiQY0WOn0Np
5l6b+r1Djc/WdpN7rFnQravgnDjFsav8+8xnpNOp+VHMGaE2CrNEej2yyaIBEgMISat5eF7K7sbr
iHJ5urxPkT44gBXZDuTFttYlbbko21Anr4BTR6qqHwnXbc052HVp9Q72divYakU0Uo8hO5Q0BJJ5
HSg33RuMMLO8u8um4MTY+Gb2klMe1+ZV5XaaSVeL8nZJ7Nbgmq1meGNo5fC51/rDPJC9MUvzXmP7
sYszKEV1MM5MbZh463VPY7E5W8FriiFjo/O2jkB34QBT761IRUoSSV2LkK0EFK+UzdmMB+bQtxk5
3YKS7BbEUdRXhXPnx2ZMv2WxXOWQRg4lqb0Vvd5HZHOeSHuaIavfdFb6JB/7ACzkImwNq72mY7s1
BnzyXsZRs/b0i0Hi5Rh0sr/v4kreTpL+w6zBJMgIgD+IlhlyaE/p++h1xmXxTavUqTdxWDpu8ajq
XHCOIq7mFvYzsiXR59YrQjizNH2btIcAiemvTSpGQ93nICLskoqOHgRiXkBVhiGUHRNvJiujUeKo
JVm29fQxZrEbnM8VIyEvXljvsMxXi48GMeG6YYS5HMBO0tRiNN/xgRwQvMTeoSIh1MaiOAxB9mJp
vb21s/iOmq0aq0us7eaB0RZn9nE7ablxRFKqrzEK3P+wNfkLSxMz0l8f+BSimY5BTQMpMu8Xzoyh
2amhFesJKmju8Ey6dGxxjM9S5/z3L2T8zMr4eFT/9Eq/bC3AedUpMVrrMCaSPuc4+GYsw8ixg/YV
1LU31yTtNDu0ueJUZL7nYbP++1/B+nki+/uv4BrscZyVdBh4v+A6/Kae8noAvM5qxWZat01mWXIg
V7tW4tHhqEVZZxQPYmnFoai17jpeV5IUGe6s53F3xv9N0/nQfHaBfdwVWKaiguMl7BWjrq8dbwFl
behZlI9lckBprA/mPOPyWBSLYK2f+o5SFK9NvteuBxVCYLGp+uqO30MjM7/imf/PtvO/+d3++HZ/
cczT9VsSOnWMA0Gv+H7o0cEVg7aIsdUS/v1L/RwH+OOT9VaMAf8DBWH97z9shoyJY6VA96Cj1vsu
EPw3yrG/kI2qo95pP//9i/0nFiTfIJbpP19tRWH88GpaRmnv3OTmgTrAW4ae1ierSrEeTclXI+u7
sHMLcYs4nJ58YS4Hoa1k/YIcve8m4irI5SHnm4yQOPY4auZdPkhxkvEKOZ9lRYc4XyHGUx0nYe5E
pqIUE78/sdCiJ3MzG/y0Bnv0YGmXed2UdOv2xGaf8vfv82eix8eHyo6fvBIAZ5+3u17OP7xNvJKu
rvEcObidk4SFG+thZZkFWzdXuyUSTxhOdmXxD1/lX92oP73sL3tqUzQsbg3wdc121si589UrKEkE
D800Fjn3VKv5OtaG/pagUrPFalD8w436l78Ci1IAOobkBX78n995qRvz0FYZ5aMZ4O6BR2LmDFe4
9slwCkfblK17g22J/ablfmHV73Z//8n/xeUc/Pj6v9w5cgoGxveYFUUpv1hDNl+LOrZOVYf/SmnJ
5e9f7ecowO/fs7sGAjyyDw7//PndphPxedH4+sGxhvyCa3TaZAMY879/lb9Y6fk8/3yVX97TYOn0
XDiNfaggCGwm3uBmILUoKtib//4rrW9FN5GKV/Llz+8Hifk/2DuTHceRbcv+SqHmTLAzNoOqgSSq
ccnlfTshPMLd2ZPGnrSvr8XIfLci/GZl4E0e8ICa5L2JDIVEiTQ7ds7ea/elUo6+VyFS2NEznnLH
P7DP/OaK/vY2+fmNvqwDnD/6Lswbm91Euh/J2F2lpmvvfLoZoDd66y6LOgbD0VIe10uhbMpO/gbC
9zdHZltfLCYQ8NEVcXb/9WrDeBprRn/WHu2N3CtIE/fStI0DpABrL60JAwe5HdEQuYRNzJRvUVyv
mWvAvSu0Nw1zIv5bjRWT6qI8ZlHx5DRWfm0k5mPaIBD659/G+vebDUck81OPpgSfGLLML4sKjr0s
LFTDR4OWiESXhIhYT3aVyvW1o6nLyXcm7Ac60IeYfJARYAiHUG2bTBnluyhJfiEuY9MM5YEyNQzS
ymDcxZmm1Yx5xSHiU8oxOuh1QQln2UfDHepVUpD3xbiUIDqNfEKpKmorGdZQuj/geAH7HusC+Otg
n9q2/bPE+S/rQf3cgvrf/42gRnicHBaBf1UMSyvsrxbX+a34+F//8/6tSPL/cX57739pVv35sr+a
VfofYCVRr5lwTlmJaS/9R+yD8wfuP9N3nKW79af67q92lWH9Yfs6Nj0dLjJ7l2Dj+stFRYfLFSav
sm084haGqv9Mu2q5V/+vGn8xHlp00viH4N1Ybr48ek1teT1CUMLiIolMtED5ptWvhW1F64ZRJwi+
C5sxBbdy9rvG06+PEXgawUXotMh8AdlJ15f//vPeHLZmkY1aFzQh9aOmZHnKgcD+pgKAvP3lEvHm
o0xfTAcAcXnLL0scOis9Hek6B0auqX3YwUHROrICGo4Hq64HZq/ylBxU5je7XuoJQAxD/87kIQp8
OcFyijsbfJqPw/48CIzDk5rEEcELrlyBdLZuaIUnTYsPhsS8DRp6GDUhnvJ5H+pyE3I+uqH8Fdml
XEzpNSBdgpP8NUBP/kJXVaTQMAG7siuDPKveaS+Z5GYJoRPduhL4AnL8rd1K5K11dm1F60Kvl7Dh
wlI38CVNItFb7d4FVkKcWOVfjRbgD9e1bBgfi4JM0+aHNKntoHbDfGWkE0FtudPv6LCLo49kZidY
aA9qwQeieNY0JsV4zrO97dYm+eC1024aLenHg1aLyjrWjDVhSkOv3UUJI91GQ8i0ZkLrvXqhjas9
M6V5i5IpkmuCrljXOo1vraXPN+NhO3VRg+0341R+U1jR8FGEs/6CsKhFJCC0cl7rTObkmkiG8XmM
ojgjn3Ms7kqrfeprTeCkIMnbN7ujV9pHvyzlPkobknYbL9mB8Xl1et0nIsCeyCLqMdTnfdub2N3T
PjnirZ5gYhfTdO7RSvFjkfU+YKXe5RisdyZBFEsioledSnS0hzifEPQM8XgfWVWKvQHvWQLaedu2
CDZVz8/dGpn+ltMgCpxStuHad4tpl2n+VUEH8YTYNNpmNDkvLbh3nLLpqomRcZartd7e6OA/LJ1u
sZm63jjNyRhL9IgFDKB0DCUcj5yfvynUliYThBkX6X6pmf52sKF4O13fPjmR4T25WaZfylRyT0fi
6Bm1tWqX+xxYVb5mSG1fWnPj3w8wsFZx0Xcbapc2sPSpRa/jU9WDC+eQxsnmnrzy3F8J0WR3gK19
YzMsUG6cUv6SHp5VtdHjdEvG19TrLWMrHc/U+Yr1st5k7QABNjZGAS1RqQIN0WgS4UF/Qp290rW+
lXbY3ZJYwVDOhQtGiJVHOokVuh8KgcGdO7b+w6LxpESMe+01TczplPSFfW9loILJSJ9qF8ty5qMb
mwa4qeEgwnFraFq9o0gEgjjqCaFSUwZD5gBdYfwm5ynp8U6aND4bozFesf4TR+eKec265FEzKCf9
1k5Nfj0SBLGpoz6/bxNT7GEfHdoSYY2Xj59qGT4XzUTARmlZn2iY5HsCeGs/RyK5rLM+PqiGKt4I
JZLTqLaGs+PHRGSIhAlTTwLXgzOa/vc0tMKDVjnIXQUTsRLbM2b/thAAMuq03iRG214qA6IcpIPm
CVRpHeT9aJz1Som3UA3lth+r5BPkPrRmBg23pTZ4d9XoG29FpJxro1fQ+2MKg3ny2gdkDdUuH1r9
RDRs8Rynon6sUst6wJ5gH+IWGahkohVijx2IH+x7kuNl28K2Q7YzYe8EhdR8R9KG0y62mqgFxp17
9oNJFvcIrqsLnxsV7kKUAZ9haDnu3iamQgUGLWq1x0uv7FWXpDCjHcIuyEImNIMBr7fBazTp60gn
BAVl3AxXx9B8OOopYdHcadNMtlk8syC5fqJvtITVGBIadKM4q9BbuhIyxYa4GSJe3Nr1T52ciwtl
zQYDaTtjau9hpzqEtWe8Ck34CMzUgMHRDZ9ai7CeTaoNo7aBSploQRgOPDbQKMK32CG+dxVipzhC
qBgf+7Ts3EPIkD1k6JmpGwPOCxpIi6ZSGCXTW5lO8tw1cWtexIXnB4OGtRAcDy3IiC+mHHLtrqTH
9lGHiPlayrZgdE1cMHrf062ZoQXVG4c68JmbXy32F7Jc1uh/fIuE3g4pdS9q1IP1ODjjunBrMoF6
khcQOY3SeJmwJS0qmsxY6BmlvXL6unvRyrG1AzeT9hMxNPpzTbLdWq+V+T3pO3Nt2QoebKearZ5H
7dWI4PS9JdXprNeTn+4sonOg7DsqxAepFtBUhIxhzR9LjggqUZZF0rXuQ5JUUOnYPPSryu5qdB4N
HwA2YIbsPlaI70YD/hZBJymVbNZmUrJm2qwXkKNJtQXURnxQGIme6FtSpaath9xH2xWIQjhoLPuO
Z4nqka0njDYYctx+XU2DfMAUqo5Zk/pbfjIiqFOv29rMZU61DNnwkIr6K712u4uhGuBS5LGlEfZb
FeU1E2pocTaPgyQXam1kpNi1IaoWsI2udZUOg3Nmct2sI7DgJwyXaHnQIh0Luqu7OEMABXfNIZ6e
4Z+fA5W14lsMqIaD9m3JjLKHUV8edI0ioWvMINJ97z2FVk+M5ZwQ2AdDrf1syKtDjZYhnNM7MkHp
HlNvgX2Mnwt7sDe4p7sbLQPqgknnOgbDeKuyMXokxo+cUHyza4JXUYvLmK4wRDhB6rHfnNo4iq9a
Fx4gX6dmPwCqHL4Pc5LxzCSNCzElmifOKo6uMGhbOq4j0Vx6KibpoQxQ8LAh93W7s/WKUGzXjO+H
KR3Pg5K8OLbr7GxWmoHKPrfO9mQ4GH9cLbmduk5foY/Tj8RBBIrR0mqA7oW2fViRKmWQvYxnTo9K
oJTWd3vQxIaJ/lU2RzqZhqEkIVDyfrzQ2Q5h4V501VjtoHGZ60LKeAsIZFz0vKV3PcYVEVpOa1jF
JjMhxyBkkNWxyjyiqnx7RNjATUUdRCH0WQyxOs+tnPIDUZLq1jFTB1GeBaoKzRcf6GDGBaY0kx46
3YK++aCd7XU720u6770XA9Yq8GyTBtZIuXexYoC1LQcASF6eMPsp3FmwtIqyXflGEY6HMgEWthoj
Wp+r7EdKFdqqYzt3ql8PuU2MlRsJ9kO5pFt1S87VWOs5tt8l/GopVYhkdHqGkRw77SRIa7Ky1JKa
ZcOUezQUJeWaMNlswSBhqOpIGmQWuORuEQPeQuEclziuYvb967qV6pzpzbBvltyuH8IJ3TRTUopI
9Zp+BHxNP8K+Ms+Z5CGcEjvjQzt8EuIve7leZMmMZETWfPjZEhw2/AgRIwVmvhNgptHUthNKNsz5
RI7pU9Wceo0E2IDAueoUL+lk3Y+gMiT8hJbxuyAFJ/gI343h2CxiCSPG9tT8CDwriyX8rEFGTEQm
oisF+Umbw6tIn7xyk4JYg7o4K76gNFsC1TIKYrEVwJnuhh+Ra33oIpZPB9McLnynHrytseS0eVXu
X/SDy2w1LvSJCpgO4MqYbZLJwhS3sM/ZCwjJaD65se4gu/PT4cKwG+tYLGFxikUnY0knQg7DzFAe
yY6CIUn0Sc1gYcIGtfFwV1CySiKcVJkDLwMzNm1CTaEvJPenwQTDVAQLPyeHAQqOg1eD34SUu5gg
tac8H9JHWM5DclI/EvEEvs9DXoFFiZta+9CNNGTesiTo6ewqh3lCs7Kulog9nAogGVAPdU/82ngN
DZXmCLMshqVLRB+5puaR8AS8ISLsTsQ1kOUnfuT6cenBzIfo8RrY01kOIo83bhwR6p5SHvUb6dfi
HmRnLX8XevGl4/TnsU83SNSFROMtuda/HvvwgXR9nthdEBp6jtQ4+lYm5R2jvmfLL+4AH7KxukwF
KDJf23RQNz+dz/+mo//jRPvziXc5dsIt4Syoc+7Egf7r+4PnGMxR2RhiIlTP/dCDwnA1S/P2dqxI
kckGMBOMvsv4vWTjMDfmWOeYWBC6PxvTLA6zVvYnRxbdbZa4mJq5mLWDsgR+pZyfcUxJKNxI9dY9
O1Z3jZKwCv9srv7/fsxvhEOur5O/Qy/k/92R2fXpG1yFn9sx/3rVX55H+w8CRiyQ8+w3KFkWlPNf
pkdEQr5g5zONf7Fr/kM/ZP9BqgHtlh/dGEMsVsW/GjLm4od0kRkatmn+yIT6zzRkvnZFdN7BowdK
94cUBePrNJF43MFp88kNOsH0ZaXUPD/FpjOdf/pS/uYx+LU9j9BpkSdxhIXO5Jhc15ehZevoDrOe
0gkcOxtekfR5W0qCCM9Jlw27iISO3T+/4b8FESzvyBzGph1DNL3hfWlp+4XKvD4LncA1Jp/apSCx
C0E9qtsVR0M8m06R3Hl0gPddCAdh1H2wd7zqtZwt1MY0ny9aJ0bqAV4jMFWfXvjQ3i459KiTQWf1
d03pZR36eZ1YPi8/uU3/3Wck535pT6Wuls3jVLpBFlbF+zhgE2tdg39mlJccH0KPrd6FGpl41XtT
6eq9n7zxcY5SuRN9ZX9GHKYeSoLhLyJA05///HWa/36f8PFw2boG1l12Ke7Hn7tnrl/rxFnPTtAb
0r5MFLD8dUJ7ZuO2Y3yc08mtVpCuKxgC1hToGrjDjoYTCT+ut48n230y56i4gm18NAx5QBJzg7CY
4iMcqH1QWQ3Zi4X2bge4gjFVZVbf+sjIcDnU8vafr+WLDuzPmxGjloUpwrI9/vfXa/ESNepdbwma
5jnFqIA4Pk6TGW0m6cUXI4TnjLGdLhDWkC5eOmOFGKIoUf2XxYL7dXztpp+m7oXoMww+BiHpRaaJ
58nI6NSIS7dJzE3pJsPaRTlxVVr9cOgqin4gjC9SwKJJQvHsi846d1oPjW7G/5YMezk7xSEDMXE2
CvLQbC0kbsKMf0ijEiPcAu2kInFdF/+WB5Q3H63LRurxu+c09OAMjn1H4dTqskvpdOHuM/VjU+jj
vEpNze82lZrS53/+Lr/2c7lrl3auvyxFgOq/BsY1+UgxbdYiKIVlHi2tUO/KqZ0TJY1+a04t92tJ
swArLNm816izm80/f4AfK8eX5wYgGPNl0C5AQL+OrqRbtERozCIwQqu4qvSs3FYpsBkywHYoKD61
lGgvDkOcUorJi4t9z4f+dOq8+WbLuruso3FAN1Ob7mGs8nzjasBIVmXpGmsttCSavIpmH8yS6RjJ
Yn736Y7c9fCQj34+ac+GlUWnBUuCpEYmHEyoIU+YjNJt1zv6b+5c42+eQpaGZU+isS94Fn+9c6Wn
y8FdnsI2q4dzhIc8XH5b+yDZV66RVqI+wky/wtNBs7b2oqMlhU7WoufJvQG/60G0Yv5oxkj//s+/
w98s8N6yyjOKcID7LmOMn9eHPJoLZpWjCICDg1lqqk9S9A42CoONOw0X//xmf/M10MZnKMG8gmn7
15qqYoOC40jI/Dy37rNezdWyjPwu4vFvVuRf3uXLMpF7yO1aqxFBZiXJh46IBLZMSV8OT+XvQpP+
5ooABBPuuMxfic75UiUiKBUSK4II8s4dHo0RssaE6+s3uzDEu183GSpgCgeI5izhKJB/ZMP8NAMx
WXK9OU+dYBDNrYQEtC70eZcmi2zxHibs1VRiQ5nG92mc18gxYGUZEJrZT+igWRiRUa1jU43t6sZp
5YivtmNSMN22pqyJDiCSWiYR3gfak9KezHll+arZFKAWUzpC/3wTfP15BNokm6kVgZXMk2A+/nrH
KVvh9ncaN6CWB5/ZJ97KmfENKKfSNv/8Vv/2tTH1WjY+w6GAMWCv/fpWsQpNvLCaH7i5E12AONX2
rq6GY9QQuGG1Yb/nq/Z/86aUgl8fKoTdPO6USyxsDOG+/lyj2QmzMMYw4DBwT7xVFViR1zAXmMZn
q67oeKO6uEXUdmii8cUFl7p1x9l8SyMQ+J0eH6l9QLEhy7RC57qVtIZZW+DlN3KXd6Vc4dl4Cc32
pRoM7G5gkT0vY3RS4Gysc5Kr3XE60KnFveK2+rXvjJJYQPpQyRyDwaWjvEr0Wd9izhOEYEDqjhDx
SVMD1zSNTE1COlOWLG76OvZXBAZI9oHbGf0ea+4hs727yK/6K+W82VK9l7S0rkrcGZtSiOgZFEx/
pWGZ2yIUjDahSn/kVRQrPF7pLk8gbZFfkacvs9Lo1ffQgNf+1A7vJhbGnR1ztl4VnWW/TInpbX29
uJdyuG68HQ1t9JeR8R17UhOIsGCcpkXFK8kvicINI5qtqDPy2wlO2U+5oFs4w3jEM5tdG5ODo9ZM
6y4wUps9t+nNj9bKPCTOLsJiI0JDT+g0gxnw5QHQJrfYhGwSrxkh7kHSlhNsYUJPc+cOgSbO3dqC
OVz2vc1Zuo7nYwOd/yaMBxQHyRxMlh74AIuruISUmFsM+u77AQAGOd3dbPqf82idMlSYuHU+UqrL
xwQB2dZSZRH43vBUxPVFS9bUFr3UcBmatfFYp6l1M2SNoBssq4K/K9doKSl/5Vv1TeGrxynqvcsh
cxHTyKZZwafQMDN7oPoNrRuuGgaSiFhzcd1Bz3pHntde9c1iiwrj6NMbOn9HK7rd64Bmb9rcM55L
ZKcQti1iQLoK6l46eddVVUiajnnfrCbA8WJdmPW84QQ+P+SR6m6scO4fpAkVqdaa+R5gpNyhusjO
mgStqBgc3mYUWuc+hcyXMmveGCRW8s6OPIdK64NsnEAPgax8AxXZHBgIiLPZyHoT8+vtCY3vbtDA
fmsGd/6WLlc4Mg7cNeFwrUf2TlX3CEeMtVfMV7TSL0PNbXcpk10oIVn1PQwNXOA6t2QND5kC3DM2
Xp0ZF5qbq01HwxwvARbwigHZjVuP8TmD6IvBAXNQNTflp6e301bDCnqBJ6G4KoX3EdfiBS00UTkg
5mSIvDWZntzWrfZ2NGqreaYDHAOVWaHzUAdoL+Wqb6KnRrZPUPmATnbCaL7lldE9Rl6GLNSvi51v
zQBeUBevOfnQ/yoasWlAeO3TBilwo3lRIJhi4NNyyke7KbXLhE8FEi/kD2flLSssuOyiHg9GZzkB
fyrame54CtvhwxIgw6qJWQq5ruWq1C0SEZKYP4Be+G7A9BsMaOK3meV5V2ErM2ACmndn9fO31hPV
bU4g2BXYCdy7RYk700qGA67kayV166aHFAmCpYf+zNhogXi2Iw9VF29jf2RyhNd6Mit5clNappm1
iIbmmORZ0JgPnRXjvLCkOuo6iC9R1e16FqyOtOJnNoia/D0jBmbU01phFjOeExXmN2KuxkvEakWA
OaPbxHm6E3bywuS43eIILQleQfTT6cigB3/YTFqRnivmcwjMJvM7rcoe6VQNz8yHYpNkUX1taoUf
rUKOds7WKuxHK6wFayAD5CCOyw1IiCsNS/dtFM5Hoxgwk7YH4Nn3YZaVXLHMbhiaGqidE/NdB4K9
uEio9D0aSru0NbGHNAr45dQ4Vw383E0pY7WvJ+vOCKe1KInKBJZPPLNLSKaSfeA35rdyqI+xITa5
ndEKsx0w6oO9G6Vj7hpNv4NetmEeNlyW+PBPY4+HYiV02T53eDA3sh7L8DXieDasYprnsMNmgLFw
lY+dgazcBDtLuzeCz0f/uTNHYx2PljIxwE0M1mvs2z0cNm0lULJtHd9OYKeEF5QdOExofh4rmGvX
mpHUtPDL8oRPQl4Ip61ubae+Yew0EyKE0Re6W/WmGj3bGaGbPIYlXo5uspMTsH3rmU9dBW2fiXOJ
wmPnT2BmY8yQb76hpRe1p/cr12HnbMy55rmQ/n5I+n4tod6f5nxmyh5VxUHC2GDpF0yaG+bdYHz6
bUf4CPd4c9MYn1lMHwFG7dzeg5Ao160Ry2tzzOdbJ8o8wjjz+egqNz3qNmp2m+CAp1L583OfZ4vc
IDcWkk29K4XNXhib6c5uuuTVw4GwJiqr3g615z7LSNcPSexXF5BG2W7j+RoiX7yZMiu6prOD34er
PY1MD4/d0IpTaPUiiMNBvzf1OLnJk846NCB1ThgZmQL6aXQ5FB7/r/WHc+2mID7r9D4Whb5O7Ejf
c4sGdd9+88gV25aYvREPYOhNsYbE0MtzOuGBcp350NpLrFJzIfsroSdB0Trl1Zgn9SqSk9etDemE
gdZ77qVFXsAtZgjxTv5L8eyapVhrmv04h+QGVPAZqQy6YSfGofFXncJOqQNrIlDGKS66rAa1ZdnN
1qZpCpcyxY6hNfWdJgbGKBPiAaKYpIgPGFPkVp9tsk+NGieXXXDjh12jAasvHftA2JAC4KU/eXbn
Xnu8ftVPmnZT+ml+qZL63WlNA2RyY1EB5015Vzb9WQMy5Lb2Z+k1F1GmomuR+c5mmklAj8Y4xQ/L
9wwGGmymBWOQdhSJq5JWb7imUAu3TViM0JOMOaarb6CVMfz+CsVB9MAJzwFgnCfG1rdLBptuOzRn
cmXDR7dxjdui6PRLsxuB0EbRdEnCTvveikRnXlLH8f1Y8mE03RYfoCb8714SlxdZkqSBGfM6A7ze
pnHKxlglFH3kMafWsGJdmN9Mv3VPEMJmDVNUVQZgp8tbWbrlIa7T4QOUk9OvUkuTxyj2hl0LSk+u
XIhID1pITZIihvA2lWC/Hmj/VAAwQn3HaNhmq+zr8N6WBjYcI8cg1Y5FtJtrC4hjG5IXDxrJVEy+
zPxxyWV5BouY4zdpcxT6Mo5DlIm9FTurukr9c0ZIKCQjbdxYHIYQi4SaeEHnQD9PhvmLY/bgPwVa
o1UG9mw1joVPilYt+fBY6SFbqRRvldRq0olrTV1NDJ4omZpWYjCJ28t0SG8ZP+GASp9QfDD+AI11
0URhtCdO97lXJg+0KhZqUEbyHQOOwCwgtnjLdgOjw6W6bVS9tIimTYlzZ4OZrz8B6za2sFjjrQt4
+6LQXPQGTRFOB1Q92xByNqm4/pbdlUR32M7FirzP9KhNiXwsJwWQ4l3Z7q03mveNN7wZdXzw5uhV
ZO1zbNoogSOtuKkHPAmtXrprWy9cVGxe1m1yrCCbSjcAK1RK+edCl80Gg6raF7nWG7SiCFpNPVFC
BW66O63NUI9UntWubGmCMioTrNjk/Yi3aSzRjfEReubXIrrJ/ekunAprX9ll+QLqWcGuHXVrT2tp
/BjSsLtTCAV2pI1pQSmluy+1OcJwxbb33vdkY8nCgIxD/tUqhOG240kG9NA11Y0XpeN+IA/kpaw6
DD1G7wVOFZUT88ALq8zkDcwqf14ZPt7yAWPeAUXT+Kg3CZuO52FHXyWRAIJbKc6sekL6D0iP5JPX
LBPmAudrPWukAVHGEOmjmJlfZFh8SMxCiOBCh4wDm1Zr0Jh+cRrsWBMrcKvuNk9jd5f6eseSa1fW
Gm2vti1bgNLa5HJgcGkaPiArqF44sOtHOgTVDgiLz8Pd+9iMIAHaIeqNdIQIQ9ZOR9NxO1md/sYz
bCK2AZCZ9Z661ga9DxCdEHg+9U11sEpPu9RjK0SdNjXZZQ5N4Kqh+AhEnJGrbeTVrg+9ZJMQDH0s
Iu8hH/QLs2irb6qPcPXFdXzH0Lu6U7j/1r0ErJwULKdI45wbJlX6ayxy/7aHtXdpunq44q+Mvi9L
4WsB9wSAVFHjcDUy49ikgmidVPMfXNV1927mZ/6m75LvLCz5OR7G6WHU5yQlSSSrtkbdlq9LfgvX
EGf7mDHzKe+S6GyoCK5LQxZdlUrrgIq5OycG1N9KM6OnRPZ4vkzG9RIkw3F0vORYULA9gZy1QMTD
B9lR86DlqAdbC8D1+vt6cIdu6TIkVzTmhsfMpjE3aShyKn9ofZAPY3sDdcylnaKaeV9Srx2dvHM+
RqNG7aXSMrmxuFVvao+Q2XiljaZ5EC7n4zjnNLnHtVuiCEpGcCapV+5jbEhPbVs0L3WKWBspG4MD
CC8KqyTFefrQG0Qem9iaA7vQmhaheMHBxosK/VTHQ3zWHL0MDFHJ/RA26BQsgyDhOW6u2SbTLQEi
ucVTUiM3mr35UcOb9KAlWr4GsSI2tVQhh8OyO2fuBBDWc7n5h6zfSy4B254ny0/+lZgkyAyUltns
gXf1tZpZxxR54pbww2TjNsiisIWT2Fv7UfsAz4l+pa5T3/Gf6++5DKdgYFp5ZQwISFYaBc85bDRA
YcD6X0q0koDXDEGqeVXaY3JrxTFuHEKY0EupGcpEZbesDNF8y4XSQpfNpHGoKqwdm/oM1N8p9pml
6dZjEYbt5wA8maM1jbvywrQLaHwcDGDy+DBAIFiEhgusf86acUMlrWlXugAxeDRmiEvBJMRzXyCW
lMqzbnNl+ftES2owaUMFTIsKP6142oWEgVUVI+StsWYpUKqfSGVLfLJ/SujIXYXSHQ+YJ4kqaGbz
RJcay46TCAZVYCWJch5r7UCwcHWZWX77kAwCzZ8G0QIHAec0zZs+lfRRMXD2Hi+UVhXfhCGHbStz
tsiZHRa8PnyaU+EW6slEdvoJZt25JBxQe+fS65c+HCHHeKHsLtgKWQb4bZDHzH3hNWfhRfO5rRxP
rrxe5dtBDPqJbljEej5ACdwM4N82dVjJqwTN77nSRfrK0ZLjojvW3reUpFWa2yzcTzW+nSzwrPGY
drEHrYvxPmrE0ZEvbU0meC7t8JmREs/VkEPjdZLqjqhI7xQ2Isq2mmd9w5sWoI2JYWTaDE/oZ+4Y
mF9k2TjwZdMCW5VKi26T2c3vJyBfW0uX0VHGnnGViUxbQpV6pD39ULbbuVQddoTaDPAXNF1QmBXy
w9QZ9inb12OUgeJihY+dlCsx2otGpdlbRbkUjDB/ceTp0RHTp3Et21RzVuyAixfRxGO8Bt2BSouU
hRC5qRuzS04DRlbD4GDAafibKWrvQHc1gtM6fbTG8NG02oPOEWCVp4lxwHY5bTxiKbf2yBJK+nX/
2MgouoCw7J9SO0o+BoKiIAhAUDrT2WJnKCisFwkg+bo1lrsAyH27VpPUPlofZe2K2dpna4qx/b68
BTh4iDP+7RTbsQgcE7LSSg24T0js0kHW6NYMFsUYrDW5B4iM5pAjuHoUTTMwD1Tjt0STJSRwb+qu
ptC9BiEmLjvWYMFlhZukm1o6OpnVHwf0c4dmtDtQ9PMLFg8SBUmRszccTLKd0804Y1kipk0zq1ev
pw8X7fzCfnHBZV2habOeWy79wmMbXtFf7A7MuKqA7pL1yO4EZw+6BNykWZw1YxpJvyL/ccwzb1OD
mY3LAgOmA6op7Gr5PucT7bai13ah5KyrTQiIrXrscIiVaMyWCCi+QkMcWkraaCXZrMYVejWxgvsz
7UjI0naV3uabApMNONjelOfW1MqtbjfuoXJNBF6sdMad9AB+0spI/Q1aPWSfZDUelNHeFmETXxsm
fUHUxYShOL11GQLO71Luw9mZq2jtedW85xfH665MoP2ctbljY/9YDf7zqFnuY6wcCGtzA9rFU8Di
QBZuBHvvRY/e6xLguAP2O6mfB8NJj4irC+CrlcQZPoyIkECXEgQ+Xk6jRyRXp2tzQFIW0zooDfGN
O3MqRtQ3HBt0qN+jRrEB52Gzho44XSHuLh8KCH73UdSrW02L3Efm9RVHIvyVSPP62gq8iDCp3Emx
PBI+4T16pALSg83Nu24ufc6zIME5AsmDodp2K0m8WcMXTtdtnQ3lmrhIQBD2VCQ7+GHtjm06Ra3m
QtfUMti/G0gFEeXWPLyyjNYdx1+BLtKvRkr7UCXdgSm0p9ZzW8ti20IZve0MfHI55T0ZlLRHRo5d
JsHPvhi1m4SgmXNdVeGFVxfdLq7A84yjcE6TXdaI9o1y69WKRNih5QzU5s6mCVN5nUzVdVugKjam
cFU25mtSOeSI+WIlKmdKSNsb6sCJVQGhqHHW3ZxfOphF96j79VtZ4RqtCf24KOYxv0za7L6MiTgz
8iH+rHHb37mNbd8DRg5xhFkq0OrhLiTZmEXaGW/HYsRplYuMlETkaH0BkDNK+1skWBGJ0kWxa8Hj
bc2CLjMNXetyhGOFd1x22779kQHGmu812JOjHKhYCFQpb9xdD1VzAxPuEzKIep+B0VtSgy42o9+a
hHJXA4OnLJHFAfd1HhBgl+1ciC3rPHS7ijvcigJlqfi+6/utYhxq1SW/MSPbQJ/b73ZbqGM0jtaV
13eNIHnHBrWisZKW9J92dqj32yrTNfKlO9MLgJ/U/4e9M1uO3Mi27K/UB7TLAAfgAPrtBhATGQwy
OGQy8wVGJknM84yv7wVKdUvKqpKszLofuq1fZJIpkxGMcLj7OWfvtTFiwDNNK6I0rbbfJbONa7pj
tFxttRocXINapBJbF5M7Uub+W+5ab70jwj35Q/oRqS1/2oH412uNV7bqJJfuICrqOzRY5jUpGLf0
fktmB/melOdLKSztFZzeyNZEOSzHfKKdP8zXNMCeUtekraDZHoMHT8YxzT6EVEejia/D1bvfkcX7
ZnTg6VOj+b4s4UknfSrchHFZhhtdhjCVKkdyHAhrV63BKIsVH205t9UGkkEO6K1gksXVw762xAS6
YqFAVhmRPaVhFVtHh2uKCQ8/ne5O3wt8rdf5kJo+PDiK9n7aAYxqfc2G+eRnsfWK+Nd8UKSkw94m
F6bZjEKqnTkn3SEDhk1An1lGV5ZAubU3ct361gy6CF9IuUl5PJtKUfe6+iOcfgwvZHfjk5qHLbBH
YoKopbeL48zIkd2KVgYwsUsgzOChrqD8xr1bunvsYcdVLhg6tbwiBjRmDj+Q/nrAABS/wEjjVLQT
lhRhLGXyKOIlYeSIzNx9CSGGWRvdAvSh1RDDrlVMfeKFKSTpb66bpBc3xCiGgcdB/wcpbt3g4uSU
WQN085RU3LGGRrlifkBXch4qBNjrfopQck0kuE8AhT70ncluy75R7AkJpKc5BgUiTxUr+1tVZP3L
XErrLcVpsmlMtycHy+Xe3FLXeZK09d2yICx36lnvDonFcQ8rjG5EHA5Ui0GFusQRzTON4mabSHzQ
m6mzr7Bt0cMXNnjWzmK3ys4E703UvzVBhfLY5tULYbvoF9V4S8ILLtSCCIjwuk06SLr6iCzeDIvw
YnEhuWHFRd+gLdZUxDXm3FA72bP+1lhTv9LwqgMIwJjp0lxjYXD3Q+5+J3b83qqnZzNop27Dg8sT
T3zDccJ9FTohUuCiKc8uSkZPNSz0HCODF1pyFdno/T1nN+whJ6VLlmRVvqUMoFLtiF8G+wbg8H1B
V+k1ptF6XHuOBXLCTWcH1EzmoKEyUUylKrcdH1ziZ5/CHhH0FBs0qTOrPoOOv9Oy9AaHfLDVJxvs
sBPRpGjLIHimXsi1Laq02rdTYzkORF1+hzXb5l6j5ul66ZCUewMEGy6+MWPhuuPQzfuQLY8kXPoF
cxK6h1kjYkej1JHsPznyf0iHDzVWEi5a9E9jTTAcsZJvLSEd+3lgx6W3Ot3EpdX4MpiW59mmaiOa
sRvobCgWy61q8udx1I1LuAAI3bWdMX/HU5ceSNsYb0y3U8/E5gDZrBnrcSVaELMms6vdTJnQ6o1t
8zGgByN3i1iW4NagNfSD2pQqZEkCQuxDWP0dnx+fpIhsfRtYevZECReDZGv2MLa9Mde1a9MVzAva
IX0Ch39o+mokD3L80rV5zScYPjFA3lcAxA4ZsyTwkQ2E/hmUpW81Fj3uRCCUZqTIvhI/gZrLEGzA
JbIGFtomU1rzUSzxuaptXBjxvLdl4xdrbq5KR45sGvne4sR04KNqG0liLFuELoBxJYnk7pwj2i8R
oyjftOJX2UurQtRYjQcYOs0zedn0VpVZH61E1m9FSj/WnyQLZIS8H2/y2h0eMugck1frXXpIg3T1
MC32iSyh/AnabNvse5p1hKWSAM77svEIFyq8RAj4O7vnZkFGDCFBNSMHmWeHqXGhjDaAbEEn5eNy
vxBgekB4Nra+jBx5cFIty5AN9YwTEEQ/QyqMf+BR0r0CbcuDQhlNn3iqIPcQ3wzV2R7uupSx2SAD
CrlSimsMRBUlU12ax0YOZuEpa0zPI/eYq2EOQpi6bWUyTcP3Q3RQVvKwoz42/bHjI/eE7L+kLUhY
x1mcbayGZo8lPuFaJ4/KxiMAK9baWy03qA1Fqbyhgis3UcNUcfDrerkU1VubxOKd7GThNXYvTul6
4x0XGd+j1yvPhjvgLSGK/C7Bdn/gUTLu8MAvX8xI2lvHxbPgDEtBvWd1aww38dRpOXmEXrNvFTI9
ITOCQmmvCdkBIB52XNjY3OV2Pbv0Xhkpc/+yWSdjdYCZn3bDVcAUyCfvBeZvbACiJmrgJtVL6weZ
GKBe6epxeKQJTvHeBNgQwbBZKUGjTw/J8LUII16F+Pu5gTTzoLM+L1Gls5RCAwq+uZT3FkqpTckc
CgE4tOaETZYG1QAzFiQs3ZR0jn0ntfKHOK/Sfd+q7msdsNeVmsFAfyxQtm1mLeE3zkUfDV5WrGy4
0O7arV1GP0x0tN+swYlvZ9nWPuNE4eHxlxv8ZZbnkObg4ThRfFJZuSYCzaA1HY6csBz4dsaydl7E
KL5hAXwPB9u4wSF9x4KiW083iZz5LrmLhJ73wOGx+vijGeXT2V0YXe9XR0i/hwrAbhY17XBgWddc
H1d65Zg70RGkavhk11o7rwfRoPmlm+ELEXyySAYW91QMekCCXt78kCEkLnrugW10tzWZ1cdCm4i+
SMXQkL5IBu8m6sAKhTSLHlhd8de0qPTnURqZr+w23IbCAv4E/OwWRBR2SxvIOtAoIGpdpmvPqC67
p5QoAt908pp2+KI7x6iRNXwkFb674eL4VaClW1ct80Pt1tWpIBqdzD0j2yq7aa+KSSPfdtEIwO5w
tq1VMsJ9o6ivRUL1JcMsu7LgLx1F53bYk2MmJkvmwKYiSfFMo6U7LkRVvqRhqL4YLRdtXGn5oRUR
VjJlExwVJ2C0OrXN5NS/CbeWR7iy8KZtOarMi8ioCpZxumNFZlypzeZbqYbkh+Gu6WlE9j7YONpI
bKPeqbC9VauCgVT3Al9zwj9TuiSPcxhgN2C44UyeNnTtgz7l7dnEUGqdNacYrroZ0j096rEnJsCN
D3VMonS3pNrdbEQOlaTKYRTqUbatVIdGZU0gsd3EfgwGQ56jikQwqds0bYjP5nnm0QMBzBDTWbKn
iKwQqxZIqJa2vBGleLIL8W4g7XzMK1Hfl70Z7ESJCYZbbTl4Zhx/0UQz3M6EXD8aUzrcC1zdfpJc
RlqtO2km/XNaqvbOIurlWQSk3icIUa6NMna83g76Z7aVZxK0jZtZrPeDMU/PZD7L6yJrtX0WRvld
2OHMAoifvg1DgGtxlARe5UNMqaKxOyCwOlAbxnh+oJFHHvIP65jZbb3H6bx8y8O6gYo74+kju4D7
WFuR3phxT75OYiv0gSPTl8UcBjqOTJCQOEyvNldpRNE7bE1hBQ9L0fdR3b4x7P6qGoPSIw1Yf7bc
DL68w7takydy/UKzNb4els7Y0bNN+Kn2tCsrLT3ilTXuKrtut7mLVZi8cucasDKi2OJjpF+jJs6M
LOinPddot9nMhgn3PYk0L2iT4lArusbKCb+R//WGSundodtKRJW9iwN9B4YNtzwR2vuqLt9TlZYb
qD2k4zXZJp9TNr/Z9AknI7oyPI12+WXq2XamxQZZx2AIlobG3Dja8sh6vW76Q2zrx2yoHmZYXSiG
wMgNEabFIvOsEQ+jxVSo24wTgyynp92TwwwPpTgsWn2VGeahT+YTfFdcy7hb7ml1mYfWId7D7EL0
yNUSU0z2ffLdhsW6E3aY3DiQSR4k869Hq6BiXDPNNyov9f3/WEqNeyOje0yaXfgiosi8oQTWdosT
pnv8Qu3Tp2Luf7dj5P8iNsfq6lAS38KfeEHKl599IJ9/4799IDgPLVRDUJKU7a5x2L/6QGzjF7wh
2CN+s4GsgvS/gzmsXzAtKVazTaCdoVaV428+EN38BQWkq6OBNXV+nPMfcWT/SWrIGwNki+DVUiip
P2M0f68MtTHzWdk4bpMwLMlVi5YdaTvS03WkNAhdpr+Q8P6s3lw/CE3xgshd8aD8nA0OfblNVaaN
28UExIBt7APfZwJVhvDi330H/8J6AifuJ9UrrwVaCuauu4qmLe0nIW+vKKEYVoxbqWvQcXOLiSFM
H/2IS7+6SckAuekXA02h7Aqffc59U1k53KHVS4+5a7LZ1QJplzaPTFvSvl2ti27YfGXYwpwlRgx9
VnARrnqN3IF5XCwSj3TyPzfo3NBJEgUykYlslO8igMGonFR/pLnfDTvDjmv9ujMb7S7OZBt6LTok
v0ts871TERIWRF6Ey7ZZ/8GALnoPIb37KfYVvwyy5Y6DE4dpV8/hHvlf4qUURpdELeIaBoM2sHH2
Kcdh5PJWOCSCr+CF1lwGeraQjcKMGKqQ4B1zw7zS3lfQQ5nnZwkpAoQegZRszQbLq2EPzUcOPvHK
btXRDlkP+tDLLaNtAn7UY4EwtfLTxAiullAs1zGeurtpygCtyY6BkzZ4YVw9w7hOsAHLC7LJAtEL
QZ0MPAmLgq5RVyDgDFc0pznCpYNVnZaxpqh9dBenoFAOEk1GCFud3swVReFz7KJIySczBZwbl7TX
Bd3/wQb6lSS7rHW9CFi6Z+hTt7XQ7Q50mPfkAl3IoNrQM76f64FWjt1ulD5Fe0DOpp/l7lHW0DrT
yuDlG6KZaSF9FIRabaw+4V9WjgYi2QOKBReHLY5LApg0X5m8uFS55g+OBh+Wmq3nGuyBI3sJZXqT
F0T3SBW+jpxCGx1FJJ1ZsQffeSnThqyLT7EaFsTAjB46go48bZJvVh+c9NQ+oobIvIwmGZ5PZxOP
oEpka1wCrvhUEPpbovKdAczBg7NBHljyoUmVYiJqni3+gwHO2TCSD2ysp7wLr8gy0rEcrhynqH4I
G7UXFmbnGQ59AI4fPF6UwVSvXLBXzuTQ1K2Dug5PiWEC10voXNzWnXWORflcENXhcepOG2PMrjV3
eld9lfgpYrQdzt5200zgQ1zc8Zi8RneLE5pbpYNcjsYxmAGTlCVkxGcjmF6joP06hVJtLYn3OjUI
klGBeAyMkAgXWwOTblLECngn0i79OQ1IyVHhdRhgWleNfCaNil+Abj3qSQz4Y0zcNsMpsvwon2lk
kQFMm4ebVg71As6sFMe2pIvQtNbo8cVeImzMXlBilRFZ1tLq40FNa7k8dqJFRtTaj6PGb1rYqAQK
vge6p68uzuPt/5Fj8/+5aEmasejcXXT3//50fWyQAjR/OGH/8dd+PWJd+QsWS+6MwNVX9NU/QO2u
/osOckriIOP/w2r/xxErzV8sC6sgB7IDBxPh1X8fsVICfnc10FF4xQgq4OT4O6X+t4MHwP2P6X+G
7+W/OIhM9RMaiqQDQ5kgtEwOPgJqfj5kmdkhWDL1HvodRN4+7STKA+eQM8pF4jI9O4q51zBF3BDb
FGpM2b1PUn5NwA2AY9Pug3qNr6rHt45G9SYFFI7oUfW+EDoEiK4uHtJKa6/tIUSc4AAsWQY2o6VO
Lgr+hD9KLqAFQ+tNGFZnu0olrGukaXNpPZduVe9UP9+XpvaeV9Ds5gJ6cWi1Hgo5oilS8WaGxhlp
nGTKArQrKmtQKmqYDt0MT4XPEM0KqVbf4zY7iKU8NdmqlepGkh9yFd6FpCn4HA6C8cFMU95IilOF
O++640S4qkSlThHpHWTE27SFSFmbvwRu+Egz72WkUZVqHV2hgQrkRlCabJNp4qgsGY9EDEk2zN/p
kM6kXjDaOBG5PcE0thiFBHPJme6StFTrcedu7B5P+yax9P6DEMlzO4dqq1ORXGiCaR5JeNuobtP9
3NLXhidb3NhJ6TKsbMn0rUNxUAwbr8CvVAjsajjIo2vj2aO/AttEvXZq/t6QzeEZ4Ni9aiSKUyJL
8yp0T689xsGbQA3wkJHbbmKqfR8ZvXmzpPjvycF+T/Ru3FMQ27eNxlhtDA02ygRDFyF4DiWZbW7T
qEBm7BJMV+eTvHfa5a2qGHzQa6rRX/bps1HOz/QPIwLfiJFpXQZ41BbUEmkPt9CMfGYbjJGH7CMu
nPRgl+53t8tSX8Hu2CxdNke7kcoWaqB2VdqKBeCk2QE5WXQdM9mPlXqkJ5NcOeQHbPJwih/boGn9
1JbplilieJPUYXYPNN3x0DTTm4Qtsx1jqv+uMp9WXRwMCmHd0EP5ynp13yetQMYqivy8oALw8w4I
2lC1j4EIHqN5QhE2AalY2i/JwoE/aINLYKeBQ0qY3zK6FYeka9GcVNM27Wxm7YnR7nIyrr5oIYWZ
pZz7YXYfaQ7cFbTzNxbPO7h0lM+EuBjYHgbN3aOvDIObxJB1s8+hWR/JM0cQEDLnvTNBViDeEcKP
mjS7dVEwbktkP0d4p9VOsQZvw64drkAPx4cw5ZqQIdFsYrfdL9Are0DEdMEzKA9WUSb3bWI6e5hl
nDVW+0UP2+khd/PwCumTdkBEXXidqZ6gyMl9Gg/5lyzhOOSrAittzVSwadJxrvYi+NaUFfSCVNYn
wkDDq2Ue6XcFg22Sh2Q1knT75p0MOC61JSInRSPqrHJzuoQMdPyK29N2gsftda26wiVu3Gqg8Xyi
aJaNckdQ9zqO8Lly+lstWfKelsjyg/CrAzicmkMUY4KjJZCBqkW/EIFHrKJgsDtHUwl4gmh6rWXM
NKgQjlc3gjpQlRMfZLQSKXP8tMjmNeW7o+i/zq2rnhgW2YfamaFUwE3yBPmyO/QuyT42GWckdj1f
17YVP7lxVZ/CsubuS3iPRP6ji7ObN8ueuL7kqyrkV8JAu12p5k3YQu+u2umu6gb5PqCpuI9Hhmsi
bttlQ0g3F+GpXK6cCMWM21avsdWjaTTa/Nam64fnW42HjjkmSowK2bKdpTv0bIiIs+osGuc6ELn0
bUgqoeaSPoSKmrYgMXOiJpM0kDy5sZH4+ZTCxx4i+9rM8uRuXILqFOhdchthy6cB2p+Iwxz2udnV
X2HL4zAq8+bMzb5HEEZIbh/rEoU1Kgnyw5OnweVtZOO83AfRcpksui7SKXS/nMf4WCX9hXNIHPsy
qHeURuFrU+bEDWXiMZxqjTExGVclLf5bQDY0mp0l9pEd9n4hYzKDo/S+DjH4WbhdNnls9sgybcFI
yZYbY3ICf1505qJArugAWqL3O0FrP4gdrqhN2pwmgXFM5IRjBDmAQVqt7MKx9U4lWfiuynQSFd0L
Go4f+LJm8hpHA0kE3CTajsY2HZBMGn27bIeeyNE8YMhaFsEXzaTX+fkeGFcZ2xB4vld2rvzqDDzN
GUxbwvsW9yZdlfQeccTmeo8EyCbCntkt4K3mUVbOh9UmNwRvsfvqBwdW/Raf8O1gOC7lA+I0P3Gi
8V6O5LuiqsWmIJJ7e9KrGxuAwZcKD/+2RsazdZfoC27sPf1D2rKcCYwYhPuNZv6yq93qrZxYUIAV
Hoca7lMyzaNfZNp5QYiELWf2OO2SJ4QC8tgL4XrN+k076RzsjCGUGydn6+nc4q2Qy2tvl98HWyKf
EHDy6Zna0dZuAXVZaHavpiC8i6MarpJGYzk05CXWiRKbg8FBpjdI36FeXV0iaI4S2zgwo2qgC4b4
k9oQil3XQRycyhdNsAsRlOVD/qeFZb3OhTyMpvUGWMhCv6MznzOst/9/3f2MNfpLrgjWMZNWzr+/
7f5X8faSvxR/eyne/naOf5SvL83fjm3Gf7Z/7DH99pN+uwAbvwAUoZ9CBwdDPAyqv/eYuBrL9fqJ
x1jiJSW47B89JtpPuEtdF8SraWtSp1fzW49J/ULlS/sJ7Z4lNf6E/p9cgPWffLQO0ES8+iBQeGe0
ZD7vx79rMrUt7dUynpp9NOak+1r5a1E56dawKcQjwKU7mMYf8J8rb3HT11JvdXIaGAojeN/McYnz
zSlaH/crK3KMvwzIkLzffcj/4o7+My5ofYvUDtraBeMTYQ/7o9WX+BkaV2nY7B3aszxx6GfCqEbO
ELmnoa5fTGM6q7an0yvZYNCZ/kW36t+8AaoExNeG7a7BVb830kvA7Q4y3mYfhLwBY5nI3dZRBxtx
wM20kl4fBASuuODvo3W8o/M+/vwz+Kk19/kRKIcWoGlpq5X/J950a8ayyfKs3jd9CD5Rtx/7iJK/
Lv4Kov4TPOK3F1K8DFxgGEk//aoA/1pKhxILVAnClixAd2d31XNZE4nmzm7szYoZQY0Jf4N2BYJt
oBUnrHYXi/yqU47JBQOSEby0CTtyM0nt3kjp36zPBd6QqSGMrZz3Tc49R2BHh8lq2luUWKhe+qHD
SBLS5OzlHYmCDN3wQW/mWn1rg/aoNaBWzbgOrsKCcknIat631hLdzMHTMnK0RPnyWOqOtSPNfjrj
ePvQjYXr75C9FgLcZNYE58Vx30nluTcW++uff0Nrw/J3zAs+OB6JtR4FXaaZXFf/uEbspaDYiKHi
UnMxoJ7mb0kQ+I5JUjdXjjWEl5whux7c3Z+/7s8wK17YtGBs2JRl8nMb+eML45SzK0wQyd5pGYw5
xD4dbQddF31U6dPSbbECLOjDG8nol6szlgmaRLZT8IVmk9xmEZIQh/acZfNMGbpMfTfAxVjW47zP
cJJ4awwblmSAlr+2Vv5t9S3lP31oFOSMgR1WNdAj7adlrfUuTg87wg6oy8KvhWVhcVqbhIN7T+ZQ
uU1tELFd0OVnOm1Yu/TjSFRav1qZglwdf92ATEZR1klhH9w4LU0ihKStb+NyQi1mxIxJlx9//pn/
83dtKngf9KjZkEBDcGr8fj+Auifg6vG2R9FwUTLZFByy13/9oBtV4Y/uaUcKM5N/9Xz+iw8MqCHQ
bIi7/0wu6yWQwd5tsn0wtJVHvq2D8b9r/wJzwIn001o26bkQX4dB3AVO9hMZqkDJZIg6y/bRbBd7
u6nTqyaIXv/iQzR/mgGsKxeani0lUxbSKeRP3z7XaSxbhLwARc4+0L8x1FMtvcIQzvPGXju4rkCA
EgwdMhx9IbLDyj700Fwu1ZJsGWJGnDv0CHUTpQsUILGNFtySGfLoXZqM0iNmI/a4Rj8KHKE7eBJn
Oc0Ng+3eoSdKt3rAFLcTxthtYxJ0tvg899rE/mbpk/RiOhRbQl6TTRtZ+olhBmp5AjB5PPj7Zu1g
1l8YjUiEfxj5JnH4nNNUMnZ3RY+0PnIrcydl+2XqgF/LigCkoEte8yV+xfx3If02uAogOG1MusEN
tupDi6p5o7nFQUyuxmBec3d4yD6wwDn0r9lzcVSuw3Qoop+E5yJEhjJU2asaWINmGj7VS7Xshsx9
jFgcQM5T3rdxAZsAbzuCmmXI7lnHNIXXgN17nlOM6hPtZpPCyZ8mPOnpqrDO6C+96NrMtixtek50
b6HtOL5R018h6rr26Bp9R+abeNzl5f1QUjEkMXh0tSgBkyP50CN+6U/AXp7zfqGS4O1N31XK6TmS
r4bylYQ0h4177Kt2m3KA+IDJobQ24tnG3eybQUP9FhmODzwl8HqzjXbsZcWeMONXogbpI9Qq9kTL
CZzNHZmJZn6ysuoh0d3HukXlTcRV56eBE+25/BgcLIPpZQZfTdE29ype6MJgleWCsQ/s4rXR2ubY
9mQPU1O2W3di6kb7CqR2nSiaBWpX19kH4iy5srGuMcheL3n6wdCBXkU7t35o8otisbSYLN0EkK89
VA2OLzX7DEGM6UPNGZAaNExkX2t+ULHOy/XInEvuV6nOS2Fj/WD0w4rlm53t8APwNv9Lq60vQ9ol
myJk7oI1h+T1IPwo16TIImK3hkfpMHwvT5PNQANHKBHpS/5qIGi67RlYemrA5k+XZLck0asytPIQ
zVpzrQL7kS4evyPX05NKGCJ9fjHcDM6twgSS6hwen2t3hk7saRWy7DbIOuyh8auDe5Jwe+NiOJm7
R9P96mhDQqRy/KqTF4TxiLVEiAALv5jgj2Ci0XMyglfipstFJkKF9OsjkLPCcINcqL9wiAxcPsnZ
W26KiS+rj9fbhuDnwacwNg5OeMZIfP2txuNS9SXJgrRRT6NGABRoltijh5n6xGW/fr5x3i63GNJU
dongTCN+pLmWVt9+ZaTm7nr6IugrCInL7Ki6KV233gImxR5Ppvh2qe2jji8dSDrcFJqVCZXjcAJP
S/hkCoV6NbYQ1pl9iLWJ69pMxBZ+D5Yuddv6BeeadZFZ/Qw+AhrOlHzUineNShXCBQust9OPbuIe
7QzsBEUS8gItk5puHWhVak4o9TumVyMfIsUA9yGkk6i5XOTnhFKBukTmWzqpD3nH8dmo0q1aqmdL
YkBfTydX40XQtbs7SzeDK6mSD1LJgzuZlDsgJKkXo+bZNm1R4VSR+KjdtyJjMzEkK7fg0rWBwvnU
toAyEfY9WwN7bYrXw7cma9/Y2WvH/WrdzuaCDyIClPa5KfUW20vUtc/MWzkYewU4mAQ3JJ8X6h0I
zfTWGbsmr7OImUEaTPbQZfxWTUTrhUXFhiAXgsVa2ufP3xAi9sf6SNSxdVmPArCGl67ijX1+B5V0
z3Eu6FIXATmE4wkjq8XAb102hQPUTlr5ttSRVyamfrIaBnBVmJEqxlJpwCL/utM5OG89i8TFcrbY
URncbtlNxtsWttV2Ejy/CU/mFqg5f8sxxSFL2+CqW7+dSbDyLJrsS1hovpXwHE7VMl197sSwzriI
qRAvRcwIjjOeMeniPNoZGQQb/obinTjTrl0HdE7LFwAhuNrFJUkDgqj6c+lqqe9Y2CFdDOAea5gf
v54rwM5wva2X51RZDFODLfboeW8EtCPSmQ9yXWHTwp+MKq7p7DS7YeGrGksWXUPjDkgayypfR4fO
wFdjoCD7/HbbpHmOsRVt7Ihdnyqo2NchP7AGJ7P73H+xiqza94jhcaobG+GW5aFOWqxj7ACNywuE
Eava6nmA7CU9KcW7ljXbTVLpqf95He7JnN/2I75aEWTzE2bZ8mCv7lgjYvlqU/r6uVaIIn+lEYTq
dnoMNGyTqdUwMR34qNfTJnDZF9OORyCAwX+DsZHmOQ5PcNxkb5tdk25Q3PebvirqnT0seIEVpJox
5lNFScv93LJ3SV1Hh6wqOfBAsp/ZJevr2Iy6ozkyImX6oDaTEdFT1Rd3l/bj6mR04cjXnUme3Qht
IIgssk+rJXyN7HWUbuhmvBtwH25wGxNtb6MSi6f4o6zL56Aput1EZfVDIIJ+MLKErIAiBdhUdQ8J
ZKY9dU6Myho9lmbqzAFyHNSpbcR+1OuBbxiLdggz+okLZdJQhuvVoBrKY2NFSBz7HA3oghraHIlv
Tee6xLbOsZBG3JPrpTkbemTubCjeV1i7XnuRIX23ZesRbWR48HHbXQrR/HppeJyqgs1+LfNKRlQ+
akD+4eBVsqwxOrh0Fs+xxbhiYjLvgexjwm/SdgWojW4lC03uKDVwkhzpA6EqgT/I5j3BbrntBtgr
el0wy8BtuSV36ti59XMGip12Omr4wVDjzWCsZgt88ftKxxYVM/Pm5WHtFB0/jOEdP3thBBPrer9r
eusKqcj3MAvH9xQs/yGv6ZCOEw1/Cqgflb0Kambs1VyeBQ3QTSS0FqsbCCdRd7CpJYj3hEYeQgSN
QbNZosoLZIxLLzYOIkEzYbSjBlECr4mm7gTxzkSPcU3EsMNwIsbvxXcaRjcEnl7HJfsv9jGGB+NV
o8BQO2ht2crFe6VYfPbIiEZO9JLTXrzg5IXqVuvGsVvMC9R8iUFTOzXCSP0iZMvUkp4ollgXqzgS
cduU89Sulc+SItXRIMqz2cYf+lS64BO4P+m4i+nWRvOT0Zn1+g0v3phxAkG4CD7GRJRoJp3sS1H3
5rW5aM+DZKsQevtcBLQ48rRufoQLXh9O4n67KLvbpyWX4Giql92YcmPSVrf+JhGSjWvdx02RYtrl
nEP/6Gm61W3FgP2lr2iaf1b0ZBGzHRg8pg4KOw4Z/UITu9lkBWrIBsqGh2MMMkXo7s1xfEWX7ezT
YrhEDismYKqwEcXApslRsL7PVeGh033Yt0qnLOS03rhcs3s9ek2t8llLkT0OlnZpmTYhKbdZoVE7
XX2qqGJtFWDb4V2RjSdAUN8pIOudNljNdavJ5qkX6beEMy3s7H0tZxcSKZuaHJP0Jhl5Nw63KsZ5
HbfrdTtdyLS/gSHARMzpqt1oOY8oLF7JpThxwUA9a08Nt0Djpmq410AfOaFSVtSNwB06OcYbwmYe
sFhuB4nYq5MZv2vcYGcak+hOY6L5Ldb47KFSwDpDiJKZrLAqYzX0wim5YPGZYrLgczZt50tpFM11
KOLxMa+FtulA8/hybV7FIdmzdOW9eZV+BC33HLJ4prMQhuyZM62bdE61MgwVd++2w6k7cseUy1Ch
vUyggTTlIQv1faD17REy+0chog/mbc+4YbttW1jn0OB9fp7ouEVjzojktV7XasgyOQOZocrjTkBx
LbeJMYut4A3TDefMLOYS1vZatSwTDSIMQqnfh80z8xLqhbEfb8OKR4o0K77soiv2XT8HVzOdSe46
GY5M1TEt6YcYYYm+FSFapwmY+C6jot9+nnLEBBaneEBR5Jqzgx/L1U9hxctkkjU8RcbyPTfs6K2J
J1w/SETpgKArBYtHhINgNblg21+yseWnNPmHtmjaK2Qbsqs49T5XP/XmtrOT+Ipi9YMmBL9Vpu6d
KSaiRl4KRCqHNuDkSjAjr40qy1zqQx+6w42FBHQzAyY7fKq6+lIOXssdik0hrC7ETOUcZszxyAFk
pKJFZyIl1tBnI93mNjL/1OquRL/E7LjV9SwXMPo1Lz9nDvdVkwtWLOTtmvOA2AehnCBZAv8oXSlW
O0dcz1c0FObl8+x1J57TyAwe/7zwt/5Ve0E5ShJuaJP+pdb2yu9azkOCuD9M5nQPvYBC3KBha3Xd
c13RFEw0ko7APSAp6/mWu4X0o0jmPVtN9cWqvzp19ag5sc4zTKG7XjN6WxOI5O3HdAjvNDktzPlt
cZBZ0/vRqBXrxP9O5QIni9NxAe7Cp89G5meNhPzzDW5J9KEmGApWpy5kBhT+KDr9JLFRXalqyhmf
6Vzo4DCwGqiBOjSC1EspycOdxd1LaLjs1yKsh/R535P2IYLmusDC75nheguMVjkcNa9vhU5wTHV9
+s9b5EwEyB2W6FHpCvwM3gTrH+UhT8o+aCk5QE0EVy3yxIPCl8IECQTh2krl9+P873nc9JFL459/
rf+iKea4DDOUqWODpJ/7x28VnlxtxTLt94nNdKuVS3RoG+5JkcLFmIrkf1F3ZruRI1m2/ZXGfWeB
NBqNJHC7H9zpk1yueQq9EIpBnOeZX9+LyuqqkCIq1A00LnALKCCrMjPcRdHMjp2z99qIQpBZoNGL
zE/aVQut/WO/iuv7oi4COizoJb3/aFa20UWJ2+2cipwJaC62h9XHWMbKmSfnsnxe5v0bf6HkYGa7
Kvqsv3VLsZvM0Xj682P4dZ6CkghnFAhr2+b1/tAH7kSnl2ExJDu5bAJLwwA0LSU09sJNbcnrKGB3
/fNHLj/e+9azpD8KyIrxhI59+MOPb2IX5rrpd7vGN51NWk3Opgr4K7g0d2ODRbMPYTYxbU33mDGz
/Z8//TermTkBX4AwzLdR1vuHn/FQzRZV365yKMYSGjrrnAvFJ2/4bx4rXWZhKXC5vxlTcZoKiylZ
u5sNsha6mZytOh6f0Z1eNG76ZWoJtvjzz/UR7Ly0J10TxxE0bUTI0Hnf/2BVXgeUJVlLxF3cHImh
xtyLLvjAlkArZ3DQwXDnKHW6Z4uSNBvTadczlwbeUHVr4jy+z+nDn7/TB0X421dijoh4mpedJvCH
l4ssOBQseskaS+LnogQb/Vfxm5BaVqRj9QmbeJkyfniz4BKjYKLrTxYYF/P3j6ATtqb8PGl2TmRf
1MCfvVzDel34MAJ1qmZUx3Bi0/i+1LMDCpH7OlLaqo+GUycSAEtDusLUPX/C5V+msr98LVdY6PN5
8wz1NhL56QAxnbGcAjtoEJf09GlSimcQ67Ry9JyGCtggfIznIU2yR7Mty21T8CsiZYCWLhpZox5p
TFHHwc1DC4JlAwmxMi8Go61XbRx/U83eavXRmyUlCMlf2KWuBTVOF4Ql2qou3mhtsAlxd6ztOQjX
UE48ArC5bSu4eUJP47XMWjyW5nK31nWBrRiHrI4shUdDK2sZ270dbPGs14c/vyHi12ezTJItGvg4
FIhb+DAsBXE7tlwMyx1mKwyHFvwiuw1IiB8y+mJ21UJPMyNaBxmoix5b3PJj0lrFs1oR8ecg9kO0
ATwGTM1ZqXfaxkL6vOmXunlOqEob4hZOtCQwgTt0QoPs0/3sLez3/YZmYw4AjmkuikzSOD68dn3L
Pl9TbFKUEkfjQs6jp4Zd3q6f8Mri61TZuQMzDeAv1lYtjbbAz8pPttVfX35QbC6vl2ByvyCt33+L
DB942dsIMjDznImBB7OIvCFzqk8+6GOQA8ua0SGsH/RcSG4R7bz/JKYgfiUgUO78nK5gTN1DyASi
FbvNX9MZObtt05WKlu5yNXaEOpCgDobVRamTQdceyvCr4AoPGouwzoz7Hillr2+a82K5M+Zc3ulv
n9cms3kzpQ2n+dxd/vzi/e6XxgCPAahFphHujQ+T45ybqyAnrdyFDVBSkUooCQCd1llD1TlmYwWn
qPu+3JfetOJdFb5OmfPJjvXrBmkji2CeaApT/qpmSEXX2KVhlDu0ST9MF5Qoj4EOMgrZ9TB99mni
1wmWbYMecpn7kiUE2vP9L86E64vAWJTML4cl5LOYvGUsiTkYjoIRWDRwKaiRLnJEODK4zObiqRiL
5KQyDAZSD76WjjGdUlnN5BkIZ5XIhJs5MX6eBs0X7eNw+edf06/nKN+Y7GAKYkiuFI3vvzEoBMIZ
RpaWrU3kVTdl62kJHYhO5/5EKxtxmJ5+MrT8TcHPp/FG6C4VKuaiDysppXTA6ysKMiJpbFZgnLiI
j6RxFnLch1lLPzUAjm0k3YGMYXWEpnX91jOk365twFCB7s1pIfgMirw26RFEWqZxRmvF2MIS3JQm
V8wQE49HbuGTmKm33noiucHFSTB+3rb2sptFFv3aZfwiRRddExDK21mY4V7OttwFCU5iEsjvUzwG
K0NjqFcaCnAZQ4dtaC/FvD+4O2uZUOJruoYWhJ9imW0UKdhTZm64tuNXFbV83AgrxvCfTQ30Rlk2
A2wMXsM//yp/u20oUyLgUWQVodl4/7ssEQmGtWTbCKY2vEoyxpgG15etsAAG0Vgmg01yycXO85W2
Od1si190PlSON3TIZXNVD2c2obB/7fUZTI5DNEUlPdOmtABmiy9vo03woQhymdaCzqzNizDml/Dn
n2R56d7v91jBqC5QMwmo4NaH/b4OJCNYcPY7mKfQIoFdesArWRIy7AH6u9naJR/vi3R828P6lHxy
ZspfS1hHSPgoaF7QGhkf9T2uMyYuOT/FTk+ZohWiHq+IhWw3Tkon3Kxc+ZCXSM8jM0wOncEaSSQn
5KjRx46Wv0L1V3mdDlY+mHlNObuYKNkMgNQkn3WjA01VPGkNzde3+QOtDUOjz+ePMVRgdPRWuUwD
LJrsMU3JnZ4tPb5xaefOZXRdV4N80FPLQ5d9XvdE8llqtrbTonnJAveV/y7SfE3/gW0v3eXQsnaJ
zbjxz7+k31QWDgl1hmO4LhEPllqe4k9VV8+sLo+JX9xVDCneBgTolhkJG0yEyohliE4duWMyH0Y9
0VdzRMXgRw8MD4AeLWOYWcdDVtZQwjmtr9Nlf6vUnYzxv/ltCc0wXzAtzCJsPZt2f/72v+57mEyo
KFj3OtfUj3ekrtXKBtNXsdMcufCpmZuwVSQTt+K3blTqZ5/ser8UzzbvFPUplzJkDhzsHw7E0CBV
tE64CdLaxg9ftuial8n92yymefv1dgyFevYXlByIRrplDNi3lbMyi7Hb1FWdbCzELCukGp9tHh8P
yrcvZ1HXst4W1dDy93/6ZarJiWMtAViFUBW/Ys13IFuXKQC/p3R5Kn9+/L/5uGWJo1QiN8MQvxw7
SWmBoymS3WAtby2WrUmjoJIN7w53x89uxM7HKpiADlCHNopOhGwGN8f3P15Y90wboWLswjC0zt2o
l+yFNbZwiYOjBrixGvBmbKLFBmhShu4jC/qrYWj5hSyk/TjIzL2K+26vzO6yUQ65kapVKzkAMRtY
ox7dleaYQvncuQNOm7LNo/PchFHh9xnTzbnNIa3xh0d9rZbZ9XVEO/wQd7lBFBKoDK0QGcJmIoC4
w8hwrRXRALYUlKVOrjAoxAEmVlIRT1XJXSYC8wwth8ZEJblsJl2uubaZQGdMniH+yXNVabHnxwnJ
VtyTt3OvwbzKHcINQ/5GKLSvxqK2I8Smu54o1LZZ6sfEPXJT84sefyUVHR3BmrZ6xJzay5PMPEOg
aqEDS9zYU1mVb/NSRhD1ajgPmcSJNBDGtDPtytm7Ed9BK/2A/u5t2crLICRuS6M7fHSUNtP+mY3n
biDPuLUT65OFZn4s1G3hUIQJRLTsSjr39fe/bDfAHqylnPIoKJz9273HTFGN5I3OZJtaKgancFlW
VQ7lcIBpOk9yI8rlF0gkqYftVzG/6Kjr7dqGnJuG31IRm1sH6SGu4kHRUurlZtIceDNskFhF63zL
EEGul67E1jFn7Y6cAnnuLn98XLSXbSjuLBu1yTAqlCRWZ266OsthDjTOJw2nj4cXsj8WFCuYOoaN
Rv/wqrNzwgWrEoew0HlXY3ShRfTJ6v24eb59hI3CkBg8hWfvwwPmFmbRCAgcBANx6RU97dce7KWX
lLAQm9aseDYwMf+8ZXwsCvhQ9k5s9HTYl23jww4VAIqJVVjb26qwqw3Dr3pdwmFg7IZd1jEZ6Wmm
1RyKWveBnybNJ20t42Ntb5ucc+j8KODpp9Jxef9WTYTq9PFC8+ow6jGXh3JfCnMGALJ8oG+5h9Jt
nR273R1th2SXStXf//kRvCngfi6M3r4DLXJCYhxEv4tA/OddmmVT26LW1DZWieb1U9XsM2nWXMR1
rDJ1H7nrKNObl1Gf/QsepLwoRlSneSucWxJrZy/s7XrdDDLedtlMQHIjeJRVQ3UXltssCeubgbyu
g1Xb/DhtaJ9XlVTndjlUDyJAlbAacwPspNtemTZQl7DX0k+KL0vwM7z7GSlgaZmCUTBpXHM2v/8Z
p6iFdMURuu1YVeeDWY9bELXG2u2L/uzth3BJvbrSSS1c4q2NNYNHonxmffZSA+3ITAnmmfQi1mYI
Kd6Fke/Z4LtY13pzGGfxWqLF2Gu9QkIGwcmLAvM6WUIxyjrqz+Y5bECAqRoFwOzs1Gj3TLWbDQxN
kkugFm9S1c4ofAAp9UWubbNSzCAvLTAx4bhN6qq5AAYJakb1SCzC4GbCgYNVekivprl8mGug93XY
nVkDOIBZ6ukqAD99EpHdPmlF/v3Pr4z5y0nL46QJj6bSphUMhuL944TQ6kcwP91tkNT0TjqtXhPH
ch4Fw22WSR8fjzS2c2uAqlIT3m06XusYKPM+cUi9B0wKs4D58jp1WWZx3odH7IP6S4Xnm/GyOx/5
U9R530OmwuuX72kkdTjKQ7VL9P7bHJfukVueTqo5kj2rbeS2ElWOqE/Ua00VD1064eMZtbuMhrSX
zPVnlY38ZbcC5sttk7aR5bCAjQ8vVAxxHhdoam2B9XaXDh6FZzEODMH44lAgOkdsusJpd+1A7jrx
iBpCnCo8klPv7CcZlSA//Q7oQpHdkyOPvCNi2SVzY0EbtWJtK4aSF1MFxDkgjvN0PKebqS1igPRO
vO50x9hMdbcbp5AIHyFvh958kpqRribXvvXD6Dt3HbhdzKeOWavZuBPL/hTkkXPVUk9uwhRDsdun
XMfzsCSobWx3it7ATjLy2zKY5EXv+cjRTc1Peji/e3eYXEia3ux9vxSF0xiFzCh5d4gNfMVt4Fwt
awV0HoBtAyLHn1/Vt/jUDyvfxMVNFUG7xrUXq/nPu1vW0avSu5YdFjmVFzOHfkJYFh7LOTfW+pyN
W1P344tQteFRODUbXk35ZQw89LGvqOAd6IlMEx971ydtRZ382Wq2BiqfUZ0Rwlp41cS67mMkr/yz
65Ka0NNc3ss65vgQA6uZsv21aODDiQIxn1HN/Q+jIF0SMoLB5HDMz+NGV5sEe9YWd/VwP4CGvWHg
73uGCPvrMormtRToNBJp0OJS5E8E8AlOiLlcaKbqusUfs3eTiZ1jdrtTpnL7vMZdcRp0tuWmTAgo
Xb4OE9N0KcT7e0Bemtf0HDNaSJrX2hK4LouKoIKq1eILoReA5upcfzZ9kq0QMTPODsNC27p1tqD9
Am1LvAubkW2oTUgviAqUBTF/ckD/5m3hJaEXs+jRl1Py/a+vUSpNsgBVrAOXgz2E51eXFodTIQvP
tlgQf35ffv28BSKA858JEC/nx1u6SnKUwXNhbdMsowApWQ3I5twDmiNnH85W9clqMH4tLLm2wSDg
xotM3Ybn8/4ndJC3VSII5BYdk7mJJpShBqnG51HGICqfCfMbSUvaBI3aljiO93XDdqESiM9FxuK3
4eetwWj665Gb89rtOKj0nl+1XkgIwrbRgrXiRyHdor7JGrZrK18Odwu4tDVH6RXW5Jdp2UaCHH4N
cRf86Ub6gn6xgjWGKjQuIs0L6E3eFRDmD7NyThCTky1ThteqgCA/D9ZrYqcvIuS7a3o7bifHn4/0
tcTG6EYaK0V918y864bGzv92tMIjJJ8eBMoTijJzA3p8vjYQ+aIRYTW5LqdkyCt4LMJUPw6tbHeF
Wk7TLEEMXlKXJBHnTJd1M5h91uok2D/qrJu+ErWEzKnnPZ+x7RPhVDd7VPGcPVCUvSYpq4eIMPst
z80kKoQvVNqwRei4zJ6rhUwBpmr8+99Ned+jqdO2tU0M3KpAGeJ1YqjWI9KC1bScunEomoOMwKTX
1DyowwbqgXaceYhjcwhb3TkZFQP8LuV/um1AgIvNCs1D/hE9oILIfRJ6sXVCT6wFjLSgqUnJQEWU
tz4kuOXH1Cwjvui1ecZKbDSbbirUDo8S2Jos4tmllrNLZ3WvJvtbhl53naRSHFid/TmeGsjgA6sm
sCZn11cA85yIMvptubuKx4fSlE/QOAVKl0onzHj+oWu2XNr5dbytrv9tOti/xJwsH/StYBQSBch6
/+P//v2DvZf25d3/2LyZMa+7H/V086Pp0va/aB3LP/nf/Zv/9uO/Y+k0/iKYsGr/taeTWOyifsl+
9m/+81/7h4ETbAmHFGSvn/EluDeXm6dkZ3BMwSL7h3sTfIk02RL5DxuIwTDrH+5NYfyN1HnIJjrb
GP8u2cj/9QCu/job/4Qv+WXoghMUZxEQNABhXMzeLjE/tXFGo5lR3mb9nrw4WO5gKemwEDFYx8aF
yXZ0iPz+S1wQOWoF3Q/hK/8UWCh6f3pkf/9a/wY2/aqI8rb59//jvg06fj7Kl+9Bei2jR4bFzB4/
1FymG2iFUfj9XiWQRlobfLCZYB1dq46j6SgrQH9XPjLmLkJXNlkNg9KF7RCC26tq866rsBuI/dw8
ANU19fxoxoyOImdhQiPwHpR9LI0yWAHvoI3dXk/dRBevgceLiNLTu/uhiUkNJ4XEzzdx1lyNyXg5
JMh9TOKnuED5TfYos+BSi0uCQcD1d5FZbxozeJEE5XjIAJW3gFNKtPJ1CYOBIQPw1wlhb/TUNOWd
OVHs+xMeH/NqcJniSpmEZL2uGtNsn0IFGTkoZn1r4xUnfxEkUWZsrTBYT+JUaMVWVSZul0ctmcHN
xrc4KM9w1OyZmpzlYY6XIEDzVt2Oo/UFDx/U1TG54H4KMjjorfUoC2dP9t0jffgL2I9narR+FGEE
7eFZa/R7IOc4bOxTbdU3yjd2oi0gRmveIIjWwZ1OPoCLn6RLNotJo0j771Flqn03mwa9HvUq3Nk/
NJYID9lsZnuwJJU32vOxNYaT5tCORo1GGqch1uakbrM0ONT6TUPaFf0YxQh5uK3G4Ipze8uYNuZp
Ecye5hOgXq9Vw1kVm/cZAqGVrkl2tdsqH19JvDuMjf5lRi000dqGbls+BUO0nazoKCrTotsQeJlf
oKRz73m9VomFh8uUdLzotKPX2kx6fwHC5sknVbJX5g23WG6sdndvmJwaxvciyy4avT92/chB3AVe
Mc7DymiBFdRkiSV+6rlj+xxDyxWSS54+pk/gXJGeqnvu1foKc+v3ogJVPoUEeTUxuS2IzbK4/aa3
IId93ccXOZ21Kt/ASl5bffgYZ8adzB7tup4vY7q/j/2cHZtEXvtj3++caXBXtYJTIoXyGGUcMQ95
qsr3bZg8EYjwI9GK0zRfltZ9IzPmUJUGHa7Ur8XCy9KGmaym+FEa+bDvoJH26EJn3z7vx8pD/wWc
2LyU03XtLHQEd93UIblRcipIGqSm7YzA61R41Y5+ugng3nN9RAXQjhbzNSvZO+FVHxjneQFD3D3A
c8nXWHNXbAdXgFdihAHjY4m1dE7UV4IlNvGQE0KrGfWpco2alZOkFDPmZho5Nh1cbqmzrZIr7mvr
oTSusywj3kxuU31+0J1s34t0VbfhsGI49qiRgSG1dMerYUM2FtnBBMlKcat3a79XF0VnnAFipr85
30e9IIGps7/AvQHTG5HXAkR8mky6HOMlGvYdQs51TvzNsSfhl/v2N9XLK8MnDVQG4tLVu4EcBesy
cgNI7+5znlSHqLO+FwkAQi4DdFgxCAD82CZpTvSIPpyTWEcRbjPwQIJ+s5yB69nXLwO0gJvcuKrV
vNYbnSePECTQtYNTRqcsygdPYQRj6tGTNICuXFPWlVX71zD9qtWUl3eRk+/60Cd9wAoNvDblV4L4
PDmphwzUsuL/8EQMWYTrp0eaG1VXTfRXfYn09Us3ZeUeCHRIneQ8zMN0aw8DqHAX/0N7LAJ/RWrU
na65lyDtv5Ci/CxasYVBcq5P3ZdqSh6Tyc52bcnPgW5n0opN3U+b2Y7EzSS1G9fh8WQUm46dn7Ud
op8ORwlpOoXgclHHe9sZDoPu4DU2d3NdvppJtsu7+MUJmOkMk38g/FScKp+Vn2OxWhuV84POxcNo
UUTRe93gMd5W5qJnlTjusgVH1xj53pndF6jozIobl/evBZerQn0tYu1eFOb5YrbbsMIuAAY/Vm7O
eJMWoQSLsdaz5iVObBZGZgBtHr5wN7zCR3EH1Otc71twRmj6m9jGPI7lRBTBYQ7kD8pRa6XX2HOM
qDmfeaya75+SftjWCTG2shhmakpuV4RkOuuwZrRfj/7G1JMjS+/QGl2+6aR2VZc98t0wAIsYayep
WyA6gug7UKBdM6c3OO0wcGnBNfjIXWXzPtQOT5KsO2WfOtc8FLM8G5qB4vdMhS10Keg8BcQ8HYmz
sr50ZnLvZ80mahfQPYmpsOargk1IL/xtG/q7slZeWTyHTX6RufZjXxuHMXWhUMvj0LT7oS+3vknI
Lf2FNR3Hgx6R1gK8aJXYt5U/eDhZIA4T/9I+ThlDkiHd4wbC+2gQkdpeiqGnEwIQzXZ3UetjnWn8
/ayFy4W8vlN++1Innb8KJUhIVT86bu1ZKYpyzKG5C7sk7c4N+3ycTQ+rJpkweX0NQOU0jexc5ahW
bsyS1yz7yhrDH+V0DHp7U9j6ZTi+ZnCsaf9vYxLAat18pQLnut3FXpcaR+o3pOHRayTy72EgL03V
Xpiq3hP4ewcidEMsHYyp2n1yYkwu3WtLJV5NbJ0ZiZIWmV7VyCIsnlgiD9VkndnpM6iZL3GfPwfM
T5okPu/07tLmJmAiJtsJPzzRG3zEinddN8WZDXCgwxo4lRkhLRmpfVrqTZr86trVBWDOfTFOJ1jG
GSBRcx27xj4jEWIwupdu7p6wSG1Sa94zvvhGP+xrZi6cdMwRBOmMkGeswloprIkNqsosNRoiI1dD
dCuyM5NNIWRuxLbc0extMzrhC38u2w3maY6dwyDSS92NfvSQqkz4BHhqOT8LOkoj6nySk8NEP+Ec
8nH8AnCSyXWdE1k3q5sOOH6IbizK2i/hKU/PRXMfI50wK21LvtdFSU+VCxUs0p4Zb2RbgDnEJoco
NsRXdJ5zGMrpOOyLrPmOcOkYEgAxLj7aWpzLTBhYIdODSxxH0KRHOTJistVDPdZf3arzN62UGYbA
EMm3RnRG0s7rMc7uR+AL18PsGmsVNsjedSIuVFEgZOnNNXbHswQwJwg/JFLSuiLY5guXwW/C7x6h
QOwQi2YrW9YPdVLuiyF+iG3Cr6BNKtHv4G+t1XzXw//r2HgxDa9NK7upSqR7frObDGtj99Dtg1M/
WNinw/GcViuIimLtDq9pSARGdN1WOESYHPptdBk3Z1o0eSq11+PNOIfbokELnZNcjnlSQ2PgJWHI
+RFxL+9uSGAOvImmajzsZvc+sMVjMOg3UaezHzi7KLhLogUGau27SF7NjHvKujsf9ey6N64gpm1S
jFtz9Kzp4WqsCAUuCIyZ4q/D0O5ha55H5RIfWI1no0tA0VCpVzd/CFmbBGyd0dzDZlTsfZeLBMzB
qD2PDHiAqXOn0DURTfUS4dhAv9F5lq9HpC5h2dPsx6Q1yRGpHqqZpCNS+TpxRKyHQYstS1KSjr4C
iadujeyutzZBMUlSwpukwv+KPInNOrsPdEBWcEujM5epcGdzItO3n89sdKen0lE4qazQZf4zFwff
N/H86bXbPpEdUTxU7dyjM7A6VOXt9EpckHMFWs851YnZf++HItmgp9J3lhVzd5iVD0MW8rlwrHFT
WJb+TeVpeO2YmTqSSW5Bsk9UtndFmTwUTNs2IF7dm7k3eZJaGz5nVMP7lPmovYq5929afChnqBMF
RDA9AQNF9HQ+ptHBsKdgT2KV/oOPdL7RpJu/apnS95k1tZhmYuO2ULW5NeygvXSgiZ3peZwddc2u
b7nvUR9TmI2rvs6b6ypLzDug00tyAZP6KQ6HA1qtkvAzGUCqmsTWxmZ9Rczf6PkTwQIkM4oEPyeO
7K4oqxN8u2DDWVMSWuXOBw331Unktn9GB7o5czsbkg+TJjAFtctzL1R5ahmtr3MxnQpH4OcOiIC4
pWVuP+i1Pn2Ds1+RWKh8Etjn4FKOc/EFyIZ7ERNIcM9Fh/XjNEH21YlV96SlpkUMcx/Gl7JvrTvL
jcMbqBPTdTO45YUx1NZNL+Pxsi7c8DjJhz6yVo1DwIc7t+ONXxjyXpNy6sn+nEibcLRhO1YlWxnh
69d1b3e4OMk+mTgwyVGN7H1WdA7t/HH8GgPZuurSob2yMFETbmXEAAKhGtACX6YWUbgKybjbGlMe
7ALq+pUyoUAmPfx60xdg4GSc7dwwKHfZcsFe8jJwrQc+7d6UVBLCmaxHE2Ew0YZx9hxbqQBU0pl7
GdvGka7QxJ5C3GSWRlfF+DyGHUHlhFD2EB0vBX4yIvWyqb9teDMngwCbieCtwsi9rpq/WWCfufE2
Hcofv4e8qO6dnISJKvmionQvrewQovKRcwcJr432mhqPFXHTUTkA7bUh4+lO4ElQy9bE+avbZOVV
h36KIUsYEp42h5mIXyQqk4lmLXPVbYsKD9/jwMEgrRFxO6FaF04g9V3u14+jKO6IyzxEunORyg7j
5bwOY5Nv3O36hL50/WAYrbspteaJsRqcQrK+NnWm7nrZ3/uacVmSFLrS2ImikLyUUTvAumZCE/SH
0qikZ2ki3Wf5MlmexeXkdCt0WynpQPnGrcJTFQ0N6gmK8oa0sU7IbQ9SEHiq8MpN0z126LPbojm6
IVBm5ABBmr+WefPJUBYdNW3ffzY7GLJbyGaQJStUyPSi3Q+qeFzrVEwWEEKVPnLNj44zyZqX41CC
jjXS6UxXeXUxFsF8zf4U3gyRsu4IZoova2LChhWh7P2Tk/TZV/ttqSTLqpmW9WMtKylc1lSyrK5q
WWfG24pb1l4xB8ntYJLEAClwOnXLGnWW1YqEbz5LlxXsvy3mMTAbGDmJdhb4rPVpWfVkEcF4cItg
k0FBBXjXuDu8dGaygmnlHGI/mbwc8/gVgzWxLZe9xVh2GWgRwyHw2Xn01idvSA7mnW1N7EtGQ30e
kDd7q8dFc6sXTXZEg1WflXPdXgYztzF32emET7McVazO42IftJYdUQsK44dYdsl6aqMDyR0rWLfh
hiBzNtNu2VfBVmLXe9tswf0M+ylxwue8pM4o9cm9kXHibkJTJA+9GXJhGAa2bz0c1LGahvBauoXx
zXe1cUNYErF9AAzV2yFACK6xI64ULtRyRvjLaVEs5wZI8elVX86SejlV6OcUD8Zy0iBy4dDht1kc
AsgNm2o5k5zldGqWc4oRTHgYx+K8WM6wcDnNDI41UjtEsHJmULA0CY8wkNx6VQmjeRjqTH9ypq5F
EwZh/nGybJpaWSemLwPIEVaN6cQEl9CASng3N53qSS3MKOAESk5wj/mF3aT5BcqmCBWLCC/KnjfP
xAhecmnbKy10UfPXtv8iMwuoDKOBmcsNYd7bxtLtmizSt08ELZ+t7cxpbM5pyPG8THkYrpuiSK+K
PFYvTiXEMYvZJHaKgG74ooakUmBomQ9YJmTy1dTLa+JumXqUCH8rUtZN6hJuC+sOPD8NrwwBbdwC
gNUXFGxfVTcht839ACW2XnCx3QKOjRaELDngD1MK1z+ALutCmY3j6i5dsLPaENfevKBocfMhyuTC
/oNLzKPm6NbJ7Fx308Cw7ReYba8Jc6MvgNu+BXWL5iq9cQalnTvRuATt4jYmZie6sxdMLgOU+CxU
6o6opzsHO/Uxrtxkn9uU2R2c3cA04A714Rhu1dhT9CxAXvzopKzp9EqM6HVaoL1pNYdUxYB8hTGd
1wvadyDCZTXwYqxju3+yOqM4yxlXb3M1SqbrhdhVU1p7CCfJbJnlzgkLDEP5QMIToJctzVTaKnr9
knb6NXWhWOlqrFZUH/dlMT6gHMtvB63kOuak4U52XQ89mmzM89AuQy9NUDnCcCuBVBjGjvzecuvY
87wiMq3Z9oK1BodaYvstuIEFYEODsXke8t4+TEYSPUVz/kyiGhWEVda71GZSnrkm7Ls57XitomZV
ZeRA1gZJdG2p2tXkg1VeuDBktlqS09HNKC1Knev8lYUZDQgZFRMIWrg0jl88FH7Lb3ji1oorWK0b
t7/j37MOgWmlHLsI++8bR+XHorX8gyhdfU/MS3QqfPu7gYjzLhHazFvAhqKR4s4t5jU21R3DEaQh
RmSTpRvIi7Jg6FQonl3qht+R3loECTcc7VVD0BkD5iVY8us0iach/UJC8wkhP28EIIgpt69moxAg
7fNX1cw3k1EoSuEOw3baYonXHFsAfiBFvalF75kxmyNk4BTjLEzagtnebW8I/R5XWcPt1fg2FroJ
Ijy+t3HgGagPNxrjaG7GZb0ioyI8DyBuT/YQ0ktmfQHrHwDrUw7QkL4AfkhYHMDRCsYvcAe0fOE+
GIL5KXaWS2ZgTtuZdCL+vQbN9Dpu+/nZj5LMM110hXaXamtp0fSy27h8IS/BPASa0o/h4MaHtJXN
pV/Y7VWPH/nK8rXxq8/+czREZe/HpaLql9qqWqosc6m3iJKi8lpqMKHhjdKGQiMjYanO2HHlPeC5
8aZeireOJ/42Zfh/NqH6eUD1H/8fpdy8zaNMm5HKvx5jeS/f65e/wKQvAVjS/Uv/I41+mWq9/Sl/
TbUIuBHLjAqJrC0XyzAzqr9H30DYNyQTb4ZdDNvFT1hSoQPzxxSFvcIyLID5/5xr6X/TIeLputSZ
ib1Nw/4Hc60Po36qb2Bs3ACBfuLmxRjwfvAek3Izmn7qbwagFnE87pQMtxQcUNvk7qfn9JvZ1UcA
Kj87JrNlbL8IppjNffisINPYK+hjAZQrtjjTb6as2jeJvc2RGsxu9SXTrXU7PLomiU7zZZCRAxya
Tylbi4jG45iCG4fL+8m34kn+VGMuvxG+FdIKx7T4C/XRI++XUeEiuvU3ZThtWtrTKenk60HYWyOo
wXBAcNSytSLXwwGq4ga9N/m0THxuKlaLIKW8/vMXEm/P/J9V79s3coTpICblmIdoy/vyTq3D4aIB
k/I3zdyFOxHLA6oEeYM12b8cwxBGjKWll2XadzX6mxl3Dp2TdrZoaSQEDs5h/qzVuXUNtzg9mp3j
H6WMDqWdb7kx1dCuh2d7/JaSkNAT+6uK/KToPiXDanR6OuUWhjcSqvFUmw2dYAAmTBhofs5exYUK
1fNJrzTPLSmdZO7FqTy5SbftwuhMaTeDKG5mHyI3yBZZYdhwpqXr4sFS5GIkzgLl77qqOG+U2EdZ
zkjyacq0A0nq67n/quVHxT6K+ts8KwHJC7lP/pO9M1mOG0m39Lv0HjJMjmHRm5gHBskgKQ7awKiB
GB2zwwE8/f2gVN3KTKusvrlos26z2uQiJVJkBML9H875Tvg8qOFlUDmEvAnjUD36R7d/hs4IZYec
xKHaO7DnZFeMcMivjHVTP7st4GIjXFwHYgLXEJ1EAp6OGJUwKpbt5aMcypPj+Luxc9ikxsyUZL9r
smDaGZrdk+1vkNajCiKw220vQ+LtEHqMvoYzyr9ZaLIESDAiz7wTL14QnjIp1n6ZH61CoHJQgM8H
UpELxDoVYhW9jouOl4d/JnQ3daMfqlZceT8ZbzgH1XtyNesl1hWzISWY1XxN/Du7bG7Kmex6Uu7A
JCxDoVPt8skcgq2ZybWRPubk8Rjt7VT7Oy9M3ges9677tRmrL133rcSPHrMPgFp116ETDKf7tKWA
B2omA1LfKC3iqFO34IDrR2bMX2JfGpcJ/PnGR/xuUMo/ADGpelJ4YbL3EdM26VbfYqchGrWuedHk
UGdMwcriRzeVydWe4+o9dFKI8I5YPjREL6VWlBx97T76lrI/e7k9HDsdqzcSt3AQs86mR/BDeJSF
GT8TjUmY8eREKysqwexDwsLcGAklH+GDMz3wOn/Tt7NBl60BTPJTeOO7aKfiUArJRHtshviSELl6
4yjnTrSdd23nwX/obdnsfn5O/3NJ/h/w3VySPP6L6fSvL8nLe7nE1fzpVvz1Zb+0Hu4nBAx0ZAFm
OMtFP/qPWxFYN3g94M8eiAk0YT4n9q9AOFt8wqaMAYH2h/aYBvmf16LzCSoCswKTe3PRkf8tuQem
+z9eCwHYV/4ZxCgh40kLfesfD2HRdGVtmHl4yNpUHibGjgR5hSeW1w4elBjbqYjHpxw21h7wmVjH
yTx+ll1vPKLjfmnjsLkYTYAEIZLjmWjP4aEbXOhJZCLns4WeQROXYVOwEn0Ci54A3ejZtQN5wXxy
7NoIE6QK1Bno3YOB8ISTYky+CkQNDPgy0jeH4j4LsLVQbCMHY9QxMQhulMvVmYZopKhon8KJhMcx
6iNOl6m+tJk7JhsaBWIaEvLCZzSf+7TO/YNRhq44MKkYH2kMk9e0rn/kNIL+Ju6dBgVdmn1JbWbc
uAoPqeveZqVXka1W5GcNt2HTOS50KZe2nuZx46plKiNwc3RGJB8IdW24IsRhUnzOtbRAT6VMWeeW
uR4x4cxEk/QV4QCRcX3dMLYqsSl1nSZYXDiMYNtlfxAy6jTJ1G5tdHwdj0i+0r2sH0ydfdeic7Hx
Rmiuk4nxvGVqNmmd+UWSe8q3isoBEiYcSdAL8eOgR8Ay2ngclF9ch4KYy0KTor6piWsj3twPmFrG
mhwimhc4KhbHC0E2GvQHCe450VhFYpb0CD3J8zbK5r6BQoCisB3IACm42Io6iY1jOxfFuR4J8dxF
s02KiQuAKGLOExF+lwRGeB4qZmm93UbAUJGpJHs6peHEurxh60v4rrcZBAprMp5Nso6zri5YKUmX
aXrjjM9lOZbDKgg7H4mM3zQTQwDJUHAypvC+JzveI7/ajcFghb4Y2DDOoQnMNktf+85rL3PfuwS7
MLJO17EVuXcJzmBr09PLohUoTOxJLebWsBzuhOt01nXK+4AVTNYB1EI2Wvhb7Vq4jMPW0vohYwyS
HHxi7ZoTT5hDFGkQE4lNq2SDu9LlR1Wn8uyDVY+RxtRtvUdbTZ+YkeZ06n+uKrTVLjsiHV6R1h6D
3AQEh1tsFYP67M1ewvpyzBV08HjrOrcIWF+Lzr8fswWAlZo2AYLtIendhAWkeSlgA64qp3oYnOFr
VLuPCvLjZLnTbRo6ByHhd2nV3GQxfL+8OnoJVvFhiUPHTQobfd23FW+ZrXFwyEkeYzN37tPJMX7w
OG8qeCQk59zbPbJQItGuptkA8NfjihrW3IWShCR+1Q9nvkqS1rqAr8Es/yoNO7t2pnmsvSTd6LbN
Ya/77truMm9TLSlTaZEDzDGilWd094E3MakmpbvRbczDEMQH1pcF92byJJ0h2ee5nzFEduJDswiT
PE/CrJ8MgvZk1a2neTa3eV8Z766LWKLx91hvk+3sVHo1wGI7lIFJCVY5G9+FyMi6FDVPZJXVxUwz
70s4xY+A0dJNyqxwryN4vwQt7nKXDD/L8fu1UpH/bXbnbtta09YKxu7GtjOIpsw5E9imx0H4jxx9
F/ig8cppJvuUp3i2pdhOWVGg07C9fROSOUTMzp5K/TupjGQqe4RU5+TRJ7pi1YZhxe2QFRDn9UP3
Qf5VzfHH726nf9Ga2D+r/H/W3ESfke6AWpBpgYP7Cp3hH4/7sh4x8oG/PBgxtuxEIjMPZzK4N/FY
i7uE+Qb441mJmvFC3l1M4otJHa4ANiI2onyWHjFd6xF/m0dFTamU2bUKt/GYtxPPZRpAALVy4Irp
kE/PVVta34Yp4vNstRptvV8XfrMq5IyqgN0ktI8RIcsptxI6gATJSHtsLcFhUdbRmcXCgHXm52nC
KpiTpfl5yqB7KM6jHBPWg/3k22yNKSqTtiXqWZmusSPdJnvoM4NJVNGY/rFt2CS22otZ3DKssvt4
xyZX3RQkJOuQMZpKU95NTC2mm+izQC2IQiY5k3WWbbH6jevcJlFd4ote22WI+F05D7O0+hV24+7G
KyOxbxp48yHrqLVVpd1GjtHeKUv75Ci//2ExCP3cDnG1bRw0ztu8a/B0djmC6X0GylCx1EnRj0Qz
nxbPzAhhDmmkqzVO+Sx/TAkX1uepoRguMi1WCVxd3Bpod+lQ5CYMYzavTTjfU4gCyjLlbVq12Zn0
bvdeufBNWa/G5RuHQsdw0Z93Atowlib8rLyhTXY31DDG4l4o/KvZtS0q++SZaUnctsysi+laOeKP
lCTRvu1NAuOBEpI0yWz+nIwGCqpAGnufsC2m2IOxR/jd30cGQ6bKj+NvEXHPEwHijfoyCU4vlAP2
HbUuk0iE25vKsr66RWQdzLGTW8g6BM7Zsr0vEkriVNj7QmI/txqgorprV74yhnMQgxzwxhbrbNJh
R7M3aWsFCLCmm7oXr6SHj1teuZcCLh4Q8zTiNwlp0IJkWNm19STDvgJbNh5ad2HaFuA2Rud7bFoa
VaXxDb4dSVqla+3rpD+RW79JLJjItnXuZPQSxc4maJIjAvGvxPAg0gxvzWHAjaOU2I2z+i6T0bpF
tP+D/DDCilTtbizfbHfBaAQHCB/vAtLpKVk6lM7Lk+9TGOrT4AXdVbKHOXYd2VxZnQYrKXN03EP3
jWKRllQ43wd34cuTq7TGRBVspJWmZzcz3mZobXs5mdZt2YQXtpTT2gFTuS1LY9oQIlPtABdF60YR
wQSLEhltrciCQrQT8mbn4CC3fVBvqBJ2Vd31l7m2WlxM07T33RqRyGg/shMeL4VlpSjRbSI6rAmE
eWeBssR4cIW23mEviLdOOKRHYwnTijXqJIiKPh1zSOYnc9TC/QE7m8WDsuoPRozwSXKv2rlqruhs
cQw70l7WEmSNZ06e7RtN2Pu6WFYZOEbZanjjZL/4P3cdw7L2SEXas7V3TVapaZZ9JD+3JDJigZqp
GIO1sMeu3hstep0twktJlhd3dLvc1vnPi7v+eYlD5uNCd3wULYfg50U//Lz0558FQB1HFAPjz8LA
/VkkeEu9kCyVw3+6rf+hsn5pm+hO/k239SNO3ov36f1f9Ft84a9+yybNyGQQKSxaJ1ye/MlvU8gg
JGWbDFCPGAr/15/8o9/yPjEexKIGMImkWJ7Gf/Zb4hNAA4Hjnz6NRglP2d8YQ9pL//j7MRz9lrmM
4EhvCly+mfunC5i4sz4Q0vcObdi68cFucuiy+L3HlnDQNPk+5kVx6r1xrI/MzdSja01BvPW0lc07
vIPO5ybL5LHsPXDUtZcPVGKpwc0qdD82e2kkzuelUr5EWpt30jAERltRes7aBzKAWNV1s/DARi6A
IjEFTX1jGtV4RMeEMlfEfEiCqI+fOkEMD5SBYil+LOMptFRzDpSvXjH9F0Dlg3BrmUW+bsrgweQe
YY1l3hLzw9Qe0w2ckW5ovzVFU+t15nSyWfPLxjdmBtl21bLmvxEJZf5Guyz18XTgRZwLefBVi9zN
Tu1DJAKw1WJ2EA9ONJAuS1eOsjFGrzZ5V5044VNQhcFeW7lG1VOE62ySw8pBB7J1gE+sChXSPiYe
LSTDS2KkAq3Qfoy1jwa0erBCo2beBGYEhjsDaJOSLkpRLpV6uDacgxMeKc7vmybtUVBFwYAOc9QF
1WdYIk3fdPQE9SY2SANB8sSSZBdbU8cwbwgN6zpbIpzu2pi109VyTWQXOM2j9pATsR2xng6s+ajM
3stO0aBDor6zyBq2Snli3lHwFq9AxhtxDWSLvtaag6UBTjD4rBGx5tPKmbtB7SKvG/Z+bybfzaqO
/bWsZbgvW2U9C8BCLT6uOF7gEB8hcjll6ObeLgP7pmqnOl85pkEoSDC8+h7sr8SM7vEmUtQ1uuee
H2V4cVq9kSRvX4FzmzvPBKJbAXlAQytMve/csvvuyME/VCyQ0n2KWMzaFJXZbHKvDoAVZFDCJ9Q/
00aCMHoEKjzdkKWAu3FM0Yd3ffHYQxHfMB0rWPaUlPmxU51Mn94atk28NdPgpNqJVm+25qeoTK3d
0FTi5BH+uUoy0rVLC6FxoNZ51XWPkwsrPGF2dmfQ6O10rmO56rEnr0jamhCwVYlPyrvk/+8rIv1u
BG6cDd+Lm46oypu2odBZWZmbPvG0qjNLNgt6hk3gIk7bNDtOca5r8jXURiou/qKO1TEedH4XUve8
9by39HBVhJ4yJhaGkEw9jmBrDK03bQsWXEqEymkqr81U7ZELFtsmRLkuM8iOwjaItwr8+lGquNv7
icp43bNp72Vx8+aHhJUiyFCXup9+VErhOaknW7K1jPoDLNRs52Fby19rQ3uPumLvuraS3P9STz07
Q1N67lEXg7Ebx1GRz0sGo2fYaiuGRu3Mpm32c+hrFMiiWEsLo00xIupxkS8fitA4mbL3OGHkeAEk
qV4js0N/28XFfRw6zamrs5JeOAnRHjZoBPRAxNN/rsX/ybXou5ACWYJB/UEhhOj9388jb96/v+fJ
76/Hf/kNfu3rwk82Ri+s0svozw8WCO6vfZ34xObNBpQhQIP+IUfbEZ8YEwIKZZPHbkssHrVfMYLO
ksvtB3gvHE5ZoGx/66Z07T/elAbDUng7IH6WVd7vHGhu0WOayHtyE7Qvd3zQaLiyGrzwGrh7sxzx
5Xz2jTLYKwxpJ7MX/okTPFGrweuzW13PLBHKYBLgcFQ6H/TcDBsryRoE2rmNmrdTWG5wd1vbIivD
7eDWyXnAD8kIUc7doXfi7IsjovGOKlJ+F3PdX+1IWjFMfgwguAyyKdmMWUQChKV09KXxlUUiL33K
LhwAFK8GV7LDC+3ZeNEM6vEZYXPDik0H2u06gjok8s8yuQUXB3IH8xXiF1w7j8wy41suKMEtZ2Xi
DPOFzF0mQvf2UJvhkza6Kn8kE2iwSHOxiVcIq4szsbXoCxikG9JL0ftGg3tnQ23e+NMs7oLKX6Rb
ZbALrapzV2RKO9kOV3r+VZY95EsrcaDWdcTEnEEteDclkJudhw/nZBnpQMdPwOzdCFmwXg1d5Tyi
xM0/83NE3OFtqZo18D/UGFzkcbyx3c5T67GWyefSKM1zbBlNvrchw4Nn104bETIaJO5dYQ3uhXq6
2tY6TCXhBXWarM0xtsEfVS5cIiEq8yWjX5kQmUmNF0YRMdu3zfiKtju5DF3A2jT3B1ytJFu0KEki
M+gPIYqd9ob+TL+Z0SiZJzDozG+d0pj3eJnmdQRU4XPSNeWtsNNFqBrUE0nSQVR/ZVyfDPuiKHq9
MyvuZmfojHqlR+UBVagM58E17AlpuBV/ruegf86BwRbrMpbuk7TDHvVLlSwgoLIYt4asYjQ7jcF/
cYzyxkOlucWiYlxCaq4fFIJ29zaDnBSbsTZcBeV4tLx+A3g7UmuzKBVbSgQs43PO0FucDdtrTDJu
ZczjMdQWfgnDOPV5bX3pRJDiMl76+bRJSVC3LWIjD3kKO3BfydQDv29p/FGuOb8OyGLomZdaZhtq
O3lSddXQ2CX2kej6sD6oCD0OlU3O+ExiV/IuA2nYgCPCdMImCMWBuYcSMOfmqvned5EaN7hYphKo
nsaUaOddeV/kaflFu8QZkzdgi48glKXLxKxDgAZfqVvIsAFazaaEqXmDBFHYhEPG9svsV+1VLRGg
rd+WN0SLBd5ukqnIcCXA5UWLSeKFqXKyj7wueg91Yz+YJa/8loCG0MAYHopiO7IxW6SIhfHBqH9G
0qzaYzj7ZLfMFBE7g/yobes7bku8RG9ioxiVtW0ys3p3wqa2YXWR5YNPjHKntsf7yizqCQ51pRFP
1aQIMQsBARrJJrmPitw9OrSTdzkC9HYFcQ4lZTHYBPG0jg5Iq+Rbxp/xd/MzWa1TP9c8ld2mYU37
URWYo1qnoEIpzNzbFFGjNkYGwMJXzHnaFup6z+p3i++rjtcRnl0k8jHZFzH69K2aseWx3c/FSvAh
fU8Koz3nUGrQ71gzZNbeCj8m14+mPbxgf7wwGTeemALyXYKkQyXF54O8Kw5ae0+1FJ2IuWq/TUWo
eugyFvgZUyN2dxALnlFblWB9TJbUKBSdvWl0SOUbaBLQy8dt3EID8uwkBxGb+fPRJdpkRcS32pLw
OqzU1Cm4JL17chF8vPppD5ckD0swW0QzbURfVBiQopn1NeZ1pG7YS8YsVw+Vq4DWSaeAQRHRVfCJ
N9Orb87F1qoRU68E7N6zKW2xxdUWbW0v+jqyrt6bKX+lUn23JY46/mK3sv86ocRFc8XCFjagnX+J
u8q/xrPVjavUldlJV5gGZ4Owtynux6dxjO6npLfe6HeSq0jbkLCZEZRi5InxFDSDPrh1EZ89r855
3b30FCQoxKAxpGJf5ab90pAI1eD6rQgPSg3p7BLTTHE8uS5VXB9nw7cwT82vgkbgkBpdjGgVNtSF
I3iBfhMsrloQcExP0qxH+jYXR/TRnCqmTKunCjrRrsgq795DC/jowk4/ojc07qsOU6qG2kE+esaS
rDFqsqMZcdtHwFvB1h+H5Km20gh9MGj9dQALdROgYC9oyIaQ5JCSQWIJw+/kRIl3TxflITjlM5uu
WFDmF2E46pCkiXObsj4PGPRkCJKLJp42woSBk5jKP0YyJsYuUln/ONlF+hnNwHAfGrH4xmfXureS
NvzRdEm3Q+YY4U60JyK1De1aLxiOe06lPDuSyZdhPoU1sULc6RLMGDhk0iibcW8g0ZwtuY2qlJIu
rcFog0gXlZ9Xb5g7j2ej4JflAoa8xhCH1rSPK9TshaNe2sbkc0xfVOwWDP4mZV71GNmYVPqEnBYG
erXdEUunyenLiZ5BHTxeKoR0C3VBE+BBZH35ZHFX7zx3IAXAtT98v3Vw5MVTTsMR5O3TqIz+ZnJH
n6ZMecFxAg3brovR1c+iENWPdtFAsXAzo3RDQwvvZ6j677k7Tv93auj/v3RsDI0WINVfD402/x2w
zSPx+8r4t/3+8sW/yuFFpGbzf6EVsV//3eDINz8xMPqdso0d+T8GR+Yn/oQ2ET0V0DxyXf67HF6U
bWALiJdGeEWwtuP+ncFRSDH++7nRgmtz+IQB5kMTEFCD/7EqrlsDaGtpudhA0w/le7d+K/a1Fz5l
Ec08svhtMcG/HNA5o3Mnz9R7w8WzV+GXRKM0soz4HCXzc668PdTinUWwYXYDkv3Ua2AAPu7taLiQ
bvLc4LzNlw3JLPbZ3B7Mel0l6G2KGufA2lMBxSFfC3G+yNqD2xTH3HOuXituMTnsdeNe3ciCebmy
iTBAfb6b6hDubfMYGPXjjMU1YhjlJszfpbkq+q9z8TjF0GfkvBejR3yYvvh1cFSxvLFq97Z0x+fa
gYvYl/c0n9uakXQh6QjQQk129DQTRLMJIvep89D+6+xORi445WQRQov2MEd6WLGZv/axf3CwGeKK
Hr70bfhkBu1r5vKSxaa7dyLviL58y5L/m9E7m6aWNy79+e+evH+xfvszXOO3N5GeBm0kzxmA7j++
iRPMsi6BWECkBu56pi0Sh1qsmzsxTXd+yx2XJPk6n/2twemCLfC3I+Av45H/TDL7KYM0AdZiOPFd
cGZ/6q0IoGVoZhMyzjibFJP0JlDtbjQLazVMQmzzxL5zo9zbq2i+x7b+PJSpc4Nw0zhKD8a/v/ox
OX27m5EJkurmpDvfiuQ2quabsWgPqsnztRegCTB71N5w5teuKORmX+qJmFIE3qtAF1sNRp0QN4+B
TCSwCDrnZgT5nzBy3KrO/jbpaKLonq/KTPdzB0qIz96L09jniPIlyNS5bJLmVFFSnf/+mOEveTR/
UPv+5d/6f5Faw5ERwPP+t8P1U4KTOnlf6IC/oXCO3//3/7L++ZW/HZKB/ylEI4SSAskuw/WFjPpr
uu7Q/RNT7i5y3p9Qm38ckeKTHbBrhv+GBoqRAs/cr4nBgq7xbZsjEqANpyQA6L8xW4c19qczEjkU
SmEypvl2HOI/SYa/mxyY0kTlYEzzXlruzB2rzKpkqo6nDjOXIL3YFJH30mE+LDZdS2+0rbuc6pyI
vdjadJ3NyRHVzfCoTWayK1/0YtcXhrwEo+p3lk76h0pPWDKtirG2gL7GEK5ID4mqyjM/kMSEXumD
DpWnMUkFerzxKqJhcR+V6Z1Q5HGhN3XY8RZF5ifn1vdJ/sySqnhw6cUnTDnTNK2FPxMsNjYmKcCV
nyDEqrJUkzmAPhHTSAbeygxLgXF+iLKHQYnmALOe0FFrLF/RHJMxpiJLfeeXo1Ah+hPVYeyoJ7/z
kJ3A/CqiRZ4U7bWofQAE2tPVShPLueNWHJAeOY1f7dJZQ13rxii9TXuURqiX0P9sYh9m6skm0ZHu
CpIgnNsgj/wD9kTHhHufleU2at3UX4ee9sZ1mpTGl0pFYcjweEpvKlJE3xup0pvONqHct1Xlp+cR
5vW8AY/WA3Z0fNQBC8qLWcsQBSBcKvVW2LmG9KL66gdzFecjcX3DWBs04DeAQ6bLwtdhbi1CED6q
QxEGyGfMD5Zh63tjNoYrY175zZHQi9d5ltDbTY02XrvGnfAbsMav9i4ynXvDFhGADBer34oh+0zD
VQ3FU+UUAyBcZjFgPRFLV+uuCKwPj7EMi05Mem+z3zvRThlNCGHIn1GcgTB21uwIob1kfo4FTEWI
oSxEZzurLoeN3XbNfT0Z9X0ytO3B6SvMTFlg3jbMx41VNmdSbwohKF+FrN/Nrh9ZNGeOWk9ITNZV
7ZNpxn5gi3GK/NYlW61LA7Q981RO+96ly62ENe2AR4zsTKPpYsYlyx+Rd89jXaUvbpjVQA9nSIYB
dKlXGfXzo1WN430Ze2CR+hGO85JVm1lBvi0IyUaQ0OQXtYScK77X3gd0hpJGI2ZY8nwRG9CVdkv8
wtzaKLRSgl2W1LUqaqMTVs7qYEuS80rHK/fCTORza7nUF4HzGQwPwjcPB+AC6CAMe7D5GKxCzLVk
6+j8IWR6c8TlWa+1MgO0Oml3ZqNC6HWfTp/ruKwpTtR4IjqK5YAPRL8xPZofDzMjBjqX1z+3I5BC
wpqvjg0tfyrxCPOsO/vazvx6k1Si/Ai0219VVNsMD4X1OMd6fl727Qd8SxOo76zxGUGOdflcJKX9
gn6gfs6rXn2oBP2eb4kjzjZ1cHO+d0ZNr9cd1st7ZvXNW2PL7lpK13rXYSSqdWP74SMZsua6TBB2
rTOpRIpvccIrNWZOxk05zXR8nv2u56yfVvhg3c8AmLBID1jHWo3lEzqdfxe0uMiyxOi2iRQREio2
Qw/kiUWHqU6tYyqr4rvfRdy7VWPamFoNMd1lfonGCktl/WGnjfW8PAhPzuzPHwnUF5pBbRafZwQ0
10mO9z5kwIHkuV7CfxWW5vc0GKwWuD3eHCdOjL1yx1JswqKIbhkUq9PEGfEQjWn8QzIRILBuGKcX
2n2ivhnBVgcHlTSYACdyPrCwzQgY2SawDsxt74nlHWgoxfx2PRcifmhlXL57yDV+2IMqWcIENQTf
FIzpug5LqCeosm6EHfegDed03o11D/PGBMPtptG4hcncYtfnGWjbqdnFrm0iI43c9jSboqk3bdF6
cKssNR+KKQD8WE6Juoe3Rv5AlfMhqT0BrCZgZPcQ20WzT6uRvJUhVd0jtsJ063lOczSz0Ds7XhE9
xIXrvhHHm58gDUZfDI2dtZYjKjzF5gS/aXYNWy+XQCPylLnqbOO0cFgn5WNrT1Trk320rMm58fKA
LrhBObpiEJ7c5WIMb9lVkwGVzYbihSiAKWqvi/XBRqr5CEyheEqGGDJPxkZpGGL/bAWJeXWIWjil
ZIAhZBnkKc2VZKKNw3mb52N4J8tpOgzVKCBetCB+tcKIzEBKpwRPdr2HqorRolhrD8UvHwU07klX
XeMmi892P4BHDSP5PhJR+I4/HxZNaPIza8dpv1s9RNaxSu2ngdnrdnZLf8uANriJ27b+Fkexfsdl
McMbI0EhWOdG3iiGdLo9eBPgh1UKvaxZWeUHBkNm7ku1caCpdlgGOqhbbMEQCytxdZPp3AFruryi
k4MT39ei2vWIWI5JMuRXwydBb92aAfEruDe5b4M6bG7DhONl1Vhi4fvoQb8bzhJXTrpXhLd0Qtw4
oLm/s3KVLC29m6MxlX55iVJoq6VKp2srp4ybve3aa1n5EkpWFZJkJjMUj2wb4PgPishCb/Dy264b
452fyOqUiI5Jretk9ndf6ohAMVtpcoEdJz2HAqzXzrYH87PnF+kzdzbytzatEdT4IVnEpTDEuSAu
YB8iW/gcJhTkFjPOxXObxZDIbGWcizSazWM6dOUTjnDGEg0G1fPcGKZ7TsrJealqE2zLKIhpAb5a
r0RXVqcBRfK5r3z7YTQD++SG4D+jzsSFHMRwNqtZ389lxwsScuiuDL/vX0TYVB8JKOwXU7fevuib
8tjNQbHJ5qB8CKPGvWEsAkOCyai3KIFZ1vTaoRwSsYsnM2tr75JiP75l+Jm/VGRoXSjYCCqIGlYM
LOzD4iacVPAWzij1xtR7NWlI95NHuLVtuDzO5KJuwrZ2nwyEQ0fivLDJhDR8LkrXzv8M3BSgUl2E
6T4RefFWxqYGSM6xv8rstsbhb+H+7gleRbZuQ9Ebi+TkpZU6YskNtnbfePsoAhCKJJV8sIxNM/kK
w5fJRpaHqcj11oXj52/BtKgQE+UEB1Kug1tnUom9aSxz+BGJDu813DjcmN7WrFNMnk63OAyCA6Ll
fKX6XJzJf3pyp6gFkT48Wv5Qv7Rsr/eD27KW94eAEysbhLkf2QVxNhVx8ZjymLw0o8n8MhrmQ6qN
gegjx0qxtYTDeFIGhIx1pWpC5kocYq9h109fAXwR/DJxqvcoa8lA5vrBJgMxsSbXGhwZ6sK48Ls1
b/OMn1uJjmO7Lt7SxtO8iCG7ocnm+iSDCa7FnKj8PsPq2rDKnxDcAfC/96r0Cb+Lfx9DNn1KzQwv
O1Jl56hc4KpWBluew7AiuFpI84kFunPIyArZZFXc7mIzcdcFqbpP2j1Gy4p7xthEvrO4dKD0bqSp
3a2WLbKM0ATDUybyKC3iWRFnx/cdAY8bw7NufZlatwhlIjxYpr5GTZXe5HNh7XIjNcjas7hjVzqy
8Xz5jfY3Q1RBNJNhdmuNY3sTN1LnW6NLhDzIPO4v7UyxCDBKeM9iAM9BRHOVOBt7Kg1QARSIzypu
PVJsRjd+bjjruMEm8VATy51tFjUolBbiyYkBN4LQQJ8W8nSyNbyFm5/cx36/AFtj0HMcYuN8Ctqh
ee08C1QHmpQb4D8Rsn0i4547rxJXDjuAe7Ixkzc+wObOmXRJCW04jD/Conz05zG+1CTbc6L2WJDD
uQ5ONr/4R+gNOBoSIPgINqg3j6WWDJWLuVzM/n7f4ZImSGtHWGGXHFhoOiWn5mQZG9WB7FnFCFQw
s5mSd4nFDTMd1UGug2wq7HU7u8Y7O6HusST7z1n31OybWpbyjg2Meqt8b6o3zTCVFxX468YNvJ4V
pEGJM7mDeRd0XvHW5ZDDt4mL3umuKxPTWSnCT8VGJERWrDD0RyOG9xHtkwkkyjmMtcXUqeJRPkSD
Hb5EOOzg1fnke7OA5VFdS8Xe6YQI0UA7VU7k+3mz9dJ1hhvve88MzuGkMU1kdpx+roxATugxW+xY
LrFiHx2akGrBK7fTLjJ7xLDs1ON+U8Q8HHe949JyFAV4F7Yq1sylB2OCu2p64DMDrQZSAHaMZKbW
4PRntTscWiXL88jY74VjSTx4FddBmkXhuRym/2LvzHYjx64u/UQs8HA65G0wJoVCUmhMSTeElAPH
w+Fw5tP3R7nsctlto+um0Q38gG24kKXMlGLae+21vtU9TnPe5kxTy7dxiaWxCZJ0ann7zbpQJybs
bd6SgMr8dQHkqVL85wu3+/3v+N2vtfyPf/qP6sefNJL//5Tk/5qIDld1JCUL/SeDxe8yMl/5u4zs
/YYAYQXOvykk0vsNKwUxWI+XwJ8kEhsVOQD7Qjm5j2L8lRH7u6nC/I1kGI5FjyIL4dHE8FckErG6
C/+w/yP5SZ8ItCQNvfoQaTb+swDZJ55UplpdRaNunhVFKK+NFPGND38ON3ugp7fOMD+jXOif7BRc
cNcDvDckSb9z2rHayaHSO+kawasWA7OCquOt8NPih1vE/bf/eTL+n5h+/q66/dfoYZgkH12Xtv/2
fPxdsuOLf5fsQEevIfr1gMCjzwr9D8nO/A0G9ZpBxMFvYo3lV/4u2jm/CZNjyJqXNyn1WjPuvz8j
hSTQyLPI95ABibiDEfgrot16IfnTU9Lz155p/LU+biT+vPUp+8+iXZQNOf+dUP6rxNoDoGb5aDPe
rmeMPjjC66XNdhRj4LMc4mjO8MqsbEJnIpO26byOSqTAs7AQfDHqqhqhjKs85j5ZPOYMQ0/uGs2N
p2q4eKpEdVPSRORypTq0kF920uaA0pZt8mOwfQ6hAReFhDobahyjySteKK0pIPZhocHOUjokTYjd
hAKR+t6bKmVR2fgY9/YcLnRBKtX7G/Yrd9enWl8nPibUiXOOtSfu0udhNMVdR8HwbIyH0hobkhoz
lvy+WMzHyE2LV3ua4sfKqkpyIFb22fhzfDMXVAdhGRqWT8IGLtQvRwLZ7fXHaI0A9EV+5WYWJ1tc
BB5wK0GRfEZF8GVqWwL0S57tSoOfTmlN1zGc4Z1QCe2vtsZaahYxn9zA8pfKE59+6k9qU6LXWZvO
T/Mz4OL8k51vmchXF8EPXDDxs4VnciXRBBGdLxIn1za2hnLbYQvdBXbubEybKZ3aWeuEcGnAeK2Y
EbxsuJ4q/TKnJY1C0ppSGD1tOZFpKc0qXKam5NN+ye2tba7wUm/MPtLSUT9NKzKDgx7m2tg0Jcvy
xgxmmKoB9wQ4C4SkIVBRBkP6Jp5Cr4y7DbbcChcMrEEwLGMAo7Cs35I2ajuGgGIGzDKlVUPEzmIh
xDryiv8TQC8WvORot/w57N4odLke/SBk6uNsPON2ilchK4CYSyXOkXQkGqsux2RvW9UERtFAEOvl
7MJ09GZsQH3FWGr7eb0reFo/d7geLnmaOefI69unpEyqj5hytgxMDKmNa05UNhQGuqi/N3D93tog
qcQW/lyK55gV6V305KI2i/Dc/JBlpWY/sIOL4whqHBaMVOcMH+xFJU3TbPwyQUAJJl/f40GeXloH
FWsTKdP4SfuK6259IfSrI3P16dEecPAnrlNgwILxqS1Lxse4Uz611h2Al+MI8JsWbiMpr2G+bLyx
sMaDgeEcXNc4vqD01g9uVy1XtijX123eHKWfGANyoQeACUOhuQWHODW4V6z8M+bFtX5pxN3J0UXR
HM20zfTOIQNDli71LoXh0m1tOcVkfouJWb6ult95Z0JnOKAz8AD6fcXf2kaswT3fUJPdmuRsN7Ih
O7hgKAAt7f2MCmt5G+NpJ4Bq2mq0v1dDAOTBROP4dOWk4NwJZ3qbiBpvmz6BFGC049M09vU58e3o
mBPdPpWqQH13MYOEsUwx7c5T+21ppZOsWid+L7poiS13UFvNBXwRQPM6xDiBr2W22RUmHxluTkCW
zQsZFDo+hxEKa20nQG0a6ooWS0YvgUW8q+xsCb07D7zQENzCNnOn6ybEyNxsk6VkuHSW1BShGidV
7awodxQe9yb9mfV18rzIJLk2MU/Gu6azYWEb5DpfDV4otNpaNjtA3jT9m7KzRPMS6QycienCS3tR
7qpEk9NC0MiIRKmlZriGCLXpGCZA4/Vef9s0OTPuXFbVVafa9rU1KSIBbvEjV0NGmEjzPj0UBaGw
IE/EzmfvZDsKmmezszLqa6jRZYqdhm9OFOszppLkTQwyI07AKWXXW4bLsjlF4D45i5qk/ZpFfm9B
IB1jzrJmkyIV+yVTBx8lLjH1rGh+OEYsRwCA4A354Y3jDb6QuAsDNigXi35GxxoWJT8JSThVBKqw
gcgj+ezE32B5xPORm0H7c3Za8A/jxMFhweYYO4M6aqWbU+SlJSkKZiJiwjSoUJ5U5N3B+tqJqnU9
clKvA8P5tTVB8meDEoXnEn7vbfAYRJFJjPPUbH5NtEVjVmUHE23bAiJcN7Nu3dHKr21tIYO4Lcam
eUtly4JTB75/39XaesFDz84HpdE6m0llPQfrSkghmX/ysyJexe51Z/Tr2L6r6Qa689aVspnlinHJ
PJ4+ElatzR1ewHBq0+Fmlh1wcWddUAl2mKDvgUr9Mhsaxa/5G7LNel+bbeLP/ls3+TjF+sJqb3jd
sgVHjgW/Q4+u98R7kz4P6648rlszrBcKMb9W6Qmv7LIpvlbsYt22jXXvzuZIfpszjklFNam7PAvM
kDUSIPdYpRfu5WWYLEJwevYqcpRJwy5t5s81Qs5WABivTWk/dbAEL/kqE/SrYNCs0kGzigjWl55g
xVa/rVeRIfvSG5JVelCrCIGC/VRVpnGJVoEi/9IqgIjmF2MVMGKHxp2Q854LKyaANrlLzZLy4I4f
WxLOMlthOIWPoT+tC7v+ALMeoWpylIPxk/dhu3D6Q0WSV13M6DAU4/K9SGBuGUuT6bDsq+Su8or2
rGoY1PXope9At98YoJfD1AfTIUpR76Sn0o+onx2i1xw9fHjcB6MB5QzutNw3MMcJ3fmW8bfWZcQl
iPoWl0t9I12l3otkQNLH6j3BTilyUexLbZIciGveXFrus1fwa7qnZgGoUho6gVdgavTdmfCIjLN0
kxPODs3WsQ8Ob0AhZLjhyeWj5R6SPln3FqkURHHue7uKOObHIrLxxm8Jyu54R0iuhipKbmNzsB5N
p68vAoT1gOHKlWczHrxH200oUC+clZjY2tYh8yf/dl7MuLsuQbdw+zCT4sbL6Beq0ZPB0ef5Q8d6
9Es3yGt8KjNKYEepsbaJJu+oXpi1UYOo6Mvikk50iLJp8xAjvtK+qtsupY3AqeZv1kItD9S3+pLX
1MNuHPL6+NhaYX94A0Mz/s84efGcNtH7EZOEAdhBUzMSZ0T7yeaT5iU8QqtG2s/jVUDdb3Xs5sz7
Nhi8IkF2Dg8ybppDlytxh6nWasLObSFSIFTDqSxlfECS7N7whVX3eo6NAHRQT/lpYzbXXpLzWl0I
257lbIP885pxCA3b6O8ZYEf0z2BIXhPRwTktxgEfHE0h9pOZTc03WIr1JWizfDd5ern1ew/ENh9b
zrR1G80jqnW64DdX8kf1N8NhYs23xhCVp6AuzQPKE1c+PXbGDp3U+77gaxY0HTrzRwdZkVC3Ko2d
M9fDZ2YVGTZyu+3J1iQQQ/plvB9yUPV/+y4bB+Rj7TTDWzDIJxvk1makLuobL07b2TRpWV98lPNN
0qhnNNgHENf4O4u4PQeISLxmIxK/uUOCuFRuwHFipksewZIHPoq84BuRVD5BKFyNcZk41CFtsNjY
L5kXNWfM7dVDUFXew6AAmLK8FGcO/cWr4UdU4Hqq9b/TNJAcltzA/TxRf3o7+R4aZlt007ufzuZ8
qiZ7mI95IIb8xHGPgj0vjmfMt677PSpiiIWlCW62hFFH52Ita0xO2g+I3MbLUfDJ9dMQrfczjiPd
74Ys56SFO9fXW0/xWAM0sVPrYFVB+rwaqvdGVWSvi2EsD2ag4FwOcxXw2ZYMLyIPkgckq+KWy8Fy
WVK7+2l/ffjqKFs7GBeAAWMcPczJ3H5Old/eyJLqBw6C16KJY4/rxeB9JFXaTNAr/ASGZYSnI7Q8
GP/DYtl3fg7kyRxj8KBJyj2Ze/ZKMDZLJ8/p9cjo3B6aljeNpgItQgLXfTVj0UyIcB0xbDPVFF6Y
Zv3dMRpqACoNT7HX1X2qxuYb+FgQiY0bHAuYLi9Ubszg1pFlr4Khb1crBeegkPxBDDzaWYwr6s7N
oyWhn+XansXGxXH7nmBqKYAXdv0Zl6mqD7nndySGBc08rATp0dOjdawns8k3XQTyXrgJc+g8DHxP
HAnrrV2Dpg2zyF2o/5MwMMG5tCelMoBNAwbdYmtForq0JKuOfWGv0w0FAFym2+zouyV8idEQ1kPM
M/M4Cq/89KtFva9b9pfGrwou3rbxaPa6v6hC6G9UQM9XubAVoyof+KFrR0tYi9blVwaTEcOwquvW
nOtzFcRFsqEAvorCqsATwYlWJ0dAG/EdNSF8C3leS4fXQ5bd94H6pTvshrxcIPHrIrsYOsVDDN+0
Qmx13euYzPlA0bZhwr6MgofJypad4y8WGvrcezko0oGBBKw9NUGp61tbb3EcvMGtVx/brjHDwS1T
g9U0IflVWKlyj7preWgY400VzNeDO+IW5BPpIyWz6oVlGrXRZsKh2eKIkYVDXUAXEbB3KYVbxi5b
U6AEKjY6k7RAY23f0e+ZXLcWzZkaIvYP5QsP1OSkunWMVPVOckT3w8LL0yt84e3PKc6rm1jD34cr
GgUggqX5rNx1pyBFy3kJWhYNHb7Qd04v7LPyuuhomUN5HHLZXpX9nHDsLdX0grXSMg8q86orrtYR
DkDOmSEX4eIGJlBjXdnU68TfcNxD0R3kiHHgf8SsvyJmIev8Z5Puc0ePB8m1/2A/42t/17LEbyZw
KDAmVEwihq5est8ja/I3V9rCgj6JyCr/QGnZAvsZ4qlvYzUT4Lb+ULIs/zfcZ2sL8lccfP2qv6Bk
efJflSyBAU4IV6JOIJChuP1ZyUoiaD9ktq0DGBhV4I3x1tiSWxmsrNL9aOfIuhczw3RT52YY5wva
h5nPHoOzw5vi6MrxTA9YGuYDEzLVQg3uoed+KeE0DEsoKTrfJh6GW8kI/JmkfYfjILXxwnaxkVJg
TF38ZvBdiPyz8vPQl6n5wI4NJrhrljuLa+imaJzumJXYL/BS+ckGnv60M/MRNFatf8aILGHHNEsC
Q6XBtgiEf2t2XLBjLJi72coYZ2Xf7JWFp87pVLpru8y/zmwRhAH5o7ChpeaQZHbwIwOfqzYuyzuc
zcg5VHNvco5K07u89hqa5mEPKnuiS9HpxuUEndbasou1e2uRJa1gsDvSTWLBLKYgneKYuMgOyseC
tomHOR/DxBmsDawY/34ssnjrNXV1GXyn/jTpmb11cvOMT+u9C8ybpUqBfDjFEa8wPcPyenHn+8Sg
PNl1+gs0wxsmDb2dOHrtbY3l1Iv1FXjqqdtXhles/i5VkzGfRu5leeQ9kTgkFkTnWWRuAffR9Jpd
65wIRO0rZxuxQaC/rC0AiZo5PnWBpiGo7K0Ka4ExQ1fX0XuQTe4V5/H6srSCN/HFMrynAjzRSWdz
CynXMG+AYBaAkAkkbme/W0M6q9TnqUkehxacLpL78Dzg8hWbGnaU2kwLiAzbEGfuAMZVZcEyae2O
6szctUipe6QZ+nKU30boXdcldoONihN7fRsEHwntM/2RchjYmTwrj4hPhFwqNykPJsao98G1vDsJ
+ntTCDP71HX11vmzfAsIVR0YjfMHxex2YZXwXjiNFxsSfea5TBt5zgqa0hrhJVvdTmcy+PF5MKdy
r/FvHANzzA8Rjpx7PqBZASbMSlw4uc7S0kK9ioj6W8Ss/IbIBEppkVPERV2bOM+LrnD5iUy+dJKJ
O2yDESpLk86PeI6mKzW24sIQ1zu72K2HDxtD5glzsxOSns/oF1i691FF4zni4nmEGWs/taZvJHiU
q/HONjL9XjBaauyCS9uENEy7mEXMHGNBNCpDbx3BJx/8MWOXE/JqdtHo18St8okmV4M/pnS98TLA
qnpxKoNxqTV4KJp8kthRY3INm3Kwq2vG/ia0Wyw5MrMwZtOFcMfbBVfdPLXS24xLO1qBU1zGbunO
A9zAC5/0SHMW1PzHYKnEyclx6GycRlTfSRLHd2Y3061nicyiz6Ch3GmS2J9sIY1rFWGuCUcxVoI/
tMzurMXGyjIs+aXVI00/0VTuukJQW+U701HKUbLUGGN979djdOdDgzknCj1lqOl827Sce/ewR5kI
A69Iz1YW0R5Szd5ZJO10bVLGdjBtqzuXZj3eJKis7y7nUI6XuCpJCmLci5wqCF2G/yehlfUprKU6
RGOD7Do3+tGFWLVNHdTllG72g0wFr615VPkt0b7x3u/FdI9zfex4wekOL5iUbPbeTsjuaDSmPspq
SM45B2sak93h1EmjueCkUpfUle5LY3jjCxXB1c+RbN2yAQMKe2LxjUcYM9bd0Frui4gaA6oTtbLX
3cj0Dew+gxFFu05T2vavkmIfIEZj/UJiVWyNetIvadKnPCnyvtsUdLXsbFg5+wywLZTbPNmbbTIC
/IpbLt+aBdlorfjRkSraJ4nfGRtY3vNVlZf2OVbpcpiV5x78oPPJfmj8gCKjU073wSsbvNw3rdU/
ABdbS8lAS9TdKF/TUaiDinWy7ywYhZYH/hTW0lprBqfCEZZ6t+gHeg98pS69N6QHbinsYguHgxyr
zE4NGApD35DWFZMaJcUkQp3QLfLklDNznpBgGli3vr5yFqEuNSjWMMvT75aefBT49lQnMAUkn2rU
Lb7X9tJMdEXKh7gBwqem+cpPZPzUZMXwk7gxlXbang6dXtv/ZG81YufNC5siiTtKEbUzjntjtr0Y
WJ1dn2tprMlEkymyB3ZY+PAr0JWp1aO3GRyKi6nqVdOB4yLJ34hqOKoYjp1M4xtkKX3krXonZpZ5
lQFmDmqFAqLJtoipKGvylvhJN4KMYHHKbWwQMOY7BW6iLyn6SXpKO7usuILPsH4vIi53elIjXEv9
zjmNd+a+kk3oj3hEYX6446Nul5k9wVp2VjO6+zJQWDMN7aodztjgOIkadC/VaUzzU7AZswe5IFAU
qm8vCDH1Z01HGykJq16PQeo01fx4Sp7ziFrK5hlbOzewVGx4ahiXRVvO12Jck5xkP3FcLoQvrOKV
7fQHUzu/bfSRTLI9jorIj18SLa3ohXfisHGr6CrAQkE1KElnXML9CeOD+QiKnWYsbWBoTWQJfpO2
o97euInpbLksiD1mbivZWKbxa4q0dxIWRx5eH81Z+nV/tJc1CxL31Q/VUSvrWzUYRKteuLO7BJeS
8rJem7FOII7Hg4oeeQAUP1MYoZsm1/6Hb80dx+cmuRUxrV78iza6+wScy1yqCxVJ5hnwnHodB3PY
DTTrmKFpDPTSYbhpj5bXIdkBNAh+4Yqxw8gwcPHmudNwLdNwe2N/THfCLz3n4JVpclU6pYGWk8fp
Lpkc6qsgZpiIyKVH31dQVg/MF2l5g+3DSLaGKgDY8DYQJldmC6dliykmG++CadInECwF8X07/al4
x6Hlx/FGgn/Ep1vbS59t9tBdxrgb+rkQT60civ1kQULmn6V9VFGS7u3MkoTKU5g2waqIY9k6Evu0
dr3k5IIad2dwYyprPFCTbq90NVXbfhpyAtIkjTtGCxb4PA51O04/xnSafo219YP9T7/LYvjw6sFE
McPYckcm0zvSHUcXp0zTsKzs8SxtXTCs0ne6OJbeVhEyoWwpJhsLPp5as7dPduM/WctIIamFTQrT
ob/F9tpuExLQAFLamFICt9wnuCCviQaMd52IjENUgSVFKusOoys86JNkzD3E4R+ccoCia4JrpNlt
HoZePaVuhTnQ9uMLXqOJ1sOh2xsZdFQvKbzHWK63hJKPzjCzlmzrOl1Rc4EN4hOZiGHfSkQGPcnm
U3Bk3hFCiy4qRZ8xx0qGmreoDTWs7m1fpXloFJFNuacREx21+zQc/ZIWWYR5d7cUdrNzc+S+0EpH
uUsiM9lnnYxipquRfBTYgmuJW2sn9OQc1eSJx6gLkp2uTfemh4Z3dGcnp2RxFC8IedWm5opwzL1h
vEqLqLrIsUD46D0umWvdZ/pK1Lg7NmNeP5gUAm8nC2XASUu5oXvDeeGDjo3b0z7bQepZO2f081Mq
lH+UEY19fVzjZS9z/8Zr3eJ5oOr+wJXR3GHnphU5px0jaGZnD6THvCqHWmydPAr4qJlLAHHrERb1
ezq3ZnePGrJnTjXPOakGknz6m0FXOWnE5HaYjbdyoGbCjiv32S7JdHm+pg+mYmmpPcyDtWVOpxoq
+U5HJQfGyUnHXb9eW1jijWrDEwNFTXXF+GDmXBRMZ3GpoOgivgPOMRqJ4fRPm+X/JoRn/VsI7l/3
tH8JwRm+v2SjmSZH7nzcyGwqD40hkByJ/XRvuRlF7DSnPDeBNT35QgSvM6GKOytZ4mt8z80bpv6M
WyUDPs2SVnxI+rl+muxg2ZuugZlO5tyJdGBcykFbCS/aFOerwyMAm9xhlDAiK311vMAwGGpKGuSs
rjxwFHB26NfXPpXt32Ovire2MVXUSxftkfzBC941AVevdndRE4hXq+8lZcpuF9IxA8xxPWuWueve
OkUOvse1tbtVgJmvdCLlO5N6fHDX5jUE+49qcC99B1uMCWVDKQk2s8Aitb0k8z3u+jNlH8sZgKdk
AqcQhvutRo7NcQF5gIE0VlUqrd0fmGKRoDDPcRidFUPhbjBE9Q0ve0F/VurnvMUm3nCOpMSBzeXe
5hRgefdV1Q53bbFk4Ih4O7iZk9z66RL2+1FHy7CtHQPkLuyTh2rJyQ3CzN8shEbNXTUP3rXT9cbR
JYC0bTP4E3TvERKgb8ycfg7t9NomS8MR0033jlYF9FDC3RSRcfHnaLCx9ZKCRnP9YYuRr5Ob3uVM
1VcDgACxpHdLXvIJjfZ7ithfL6mpcYLbdPU88EIPrqZgGq+syhmuFg4VwO/n9heISEZBhXGQxpjR
xe3AvECgBuOyDH1hVPRcMmcPXyN38TV+Q94xIGeuQzlgm3Z1F1sk0DOi9+ZIhaO9TvL211Dvr/O9
+Jr0SRegvq7z/2j43TlYd4J83Q7gR1CDDm7C2ejY8O/abBT7Ggv6k1oXDP21awD54gHS6wpif20j
/bqYoKWNF/W1rUTr4jJqPO4wXq2QEsFgrUNtjB3ZjpYL3bry+F/rD0bzsj52jZxCn9zEadIujC6n
ptBJ5zxxQcBlwPSF/ODCAGAWePjGKofu4pDzPMz+jIXDX/etpVkea+3AvDDqB8NK02Nt8AOzKdB4
UL1w8FgzKdOyidMHjAldghMFZkPCkuboCLpjn/XE8n3GMFyXXUC/qAk5oHHdsMdpd4FHIl8aHgOi
W+vKmK/LI40f7JE4APKbJO9QClgyHdgF4fi1eXpfW2iwLqQ1JKxDsy6p/bquQsgAB8cGW6+rbLou
tWpdb/lLrosuK69el19gIMPqNOJ6t67GrhH7b6XTvE0caT69dYHu11V6WZfqcl2vKWti017WpTtZ
1+9gXcTnr528WNdztS7qEOms625d3qd1jccqzkav1+W+XNf8ZV34M96kyXDxq+Az1Kb/UgbyVSTo
V7nAXYUDq+uD7X9/RxWYHf9k4frbGyqzobWqNpCh/ix8EXyIARzM/gG7y+Pyar82H8Zr8zDetvcp
zqo7o7j9vyum/r8Z0iW76tr/1YL69LP4KOOP8uNfQrp//8p/qKS2ZXnguTx+P0jPCJX/UEmpE0Cd
RCj6Mvz9oZOKAPwB8igeVJ45vun/EdMVLpUD+ARX5DAgRNf7Sx5Ufsd/ebqsyDFgMthanWCFGpBL
/mfHX5oT3bMzamCZLh48eAZH1U3kGYm37gNDjT+pJyFYQpnPEQfVHMqpoGYs8WgwWQipBrQ3mrvB
WxfAQozufeuNnJSWqLyCZc6mVuTTLW/X3g0zI4VSUUAIiCvgD21F1X6BbMcUSz7ss00B2d1kqzly
o9dMCTi05KWj4PGmqXSltxBG0oglE2e4nBb/ilsst9cpdoPimGUmJo8Y+13fOwTj3HL8DttQ72Z8
gn4+Dq8et/PQrWprQXrx0gU/v3SO2mPIaIylzkOlHXTGtsq4H6OrhGWDYLwB60WxH6XgRhmWQYxL
YnJYyjKHzOg2MQKGychPy8OEzfeZ6z7XVtNfCNSD07mqoag8mV0Ko9Myc0CRhDWS2xkfGxYOY2LH
xHqV3nVFMbxQnZPmu1yn5vVkclgdxvlWzGI4pqIdv1eQjN5JQhGnbYu2vePTgX2HBZ1e0UK4L5E5
2ufOto2nJJfmq1GVOQV4thyu5mbgLAxweqftOP7hz2Sdw9ib1r84NhSqT/A7wANzK18fK1TRs1mk
tOfxMJefXl+7VzASwDINoO75S/oBOgBnskMO5OLOUkFEuknO85YgMXkk37DX4hYPCcODsr2ZBZpE
giRDjOkE+8xkKbE45FF08NBPqcGCHQ+CApWlPCvDzXAwccb+iJMG8s8sxxueUH0Glt6vDU72A+Jh
gaYEp2Y7TG2FX0gMpCgIhEpDpS81o+x2mQxqNTnnPhiGpC3Gn5o7BjIok6CrySiP9h2WKHNX+Fl8
ZO41r3lEaaIzWpT0JTffm2VZTolD6W7FKnMzZzxRdTXKzy4vp71pT+1VXmFNVKX/1DQjhlddhRwI
kgvZPSLdBJ+esbxQn9v7zkcq+vma0cUJY1tXe48Bm0h1+41r7Zvi2LsRsH82PEwvNOVRgVRiK3R2
FJWkj4p+bT1llxpDTJ9A2qz3sQRPl5dkGPppXcl7dnq3JHcdwitEvWfHS594HcibVijvAZXNK49m
N2WnIjGiV6hn/pPTZVW+rWxh+wf+pZRanclWlLbqYn60sEAcc55TtyY/PuxyXBHRGIKUncrGiqkq
z3mBOOvcusq3jwIriMTPUEXErGloNwdYe3rkmIx+ErWfYErpguh7P3iSpajDrCN3tIk97IEULHjz
Ba54cu/A3d2uy4/YWAurZT01MQV9XZw+TCCOCBnPFEXahGTe6jSrb9PUGU+zWbq3MEpTTbBxWPid
qDugnko8BBafr/7S2PRQ1+7w5AeT9dwrOR49+ns+gyJVTzMt4ho9InM+eX6nvxiNbZsudoEgUM5W
8iHgFRUw7v0BlwNT+13mYImdV6zVxs6U3ezzKmsOY9x0sETdKDnUfV7eAbu3nwZlxadIu9Zjrlr7
DC2GNZIfinfhTiToqfJQjZBjY+fQUy9yt4yZuB907B2ykXLuLqnV94ynMI9qZFsvbdV2ZzpZ7F0k
luboo1fQf1z4t2WplmQDTpVwqLQj89qLanEMmjG+dsWQnQmK51A+XFcQ2waU9GQwYbY76RUGZU5C
3sq8U/e+js0Hx5pIIjNL2QkNr6N8jgtl2mFfz/r7SMyQq7PZhtJkrAy127Aw+qesgYgHAqFqug2+
Fb2LjCo/rJ6DdpenPqgqJMPjGJS3QPRRUgU+0m1tr0WRQSeOky/UvZcxnru8cHctUspB8z8bMS7l
YzvY2L3alGKVNLijfDW+ySeFb8QO0hvcFvkeaWs5NbobrmNPWUeJ4/kzX0jEDwNFL1kZdQfy1/K6
jWYeQ1zA5yho8m3BmBryXlReE7LNlrBy+3EnlfoUbVHRCW4Q/ndK7xubzt7z+2+ZR7aRl35yJTia
J42F0ETl2Q+nwujZ1nLntcYcJgji4VAZZLaAsKaG0xzc3nWu6OW5IxMpKVb3jHtBu81xxsNOSWN0
Wvc2uCveZCLyG/MrJlVyshENcCAuHRthLTaQQGnfWsriCQl22it38PdYrl4Lk1ByUeMO8nT6mRnD
WJwsRkLyzEGfb8fYGYON2S/Tvouc4UEMTnYzDQZdoXnd3WqaX6XvvvdTfXS49W/Klj2yneDHqRlc
vl9ZZ0HrkL+pEuplN54md7oZUVW2leyza8sufYSzepkp4nKj4sDQzf/tK0cd4PWfdA5kLIxcrCzb
JTHRJoXfzWqTVmN9HHTxoeZCnbzC699sdCmQecmc3mRzNyA1CewPpW00Dw0gzcPSjD6zvEMyTQ5T
f60AKKg9nQRAn2eYBEtv2D9VFw+05aqBzhan7hKGGSMuwnrsU6xbdcvnQGq11URGkmwBIfbM+17S
g3MnvW68S3McymAi/a3ksAn+sp/DwraAi/l3fFvE1mN3zp7s1oSnGAUdBSEC2sZLFCU/Ap7ucCO9
LWPPjZtwZszbZvWPRM0DSlC6oeZU2bB8CZyVNi53qCjWPYzh5c2IG3MXA204QcMgnkaMjPvi2FEW
EGi4S37ufras1jDxmG5iQa2qH3BgVsqQe6R3/VxJzBWxV+xopKHpTav+UmdR/LISKg4Kt9cv25QF
WqxT7wE4uOXGL3DHHYsu1sexpIJtM9CJw6m0hL2JTa288BkwHvoiH259119OFgPZS7rAtphaYzo1
FpXjdtNQJaPcjg8k6Z4XOtXYUK2U+hVS9Bs36JbvbH3mkUBeu7XdJdrDHB/Yz4R7YEc+oEE/Exbm
7uSm2/9F3pn1to10afivBHMxV8MG9wWD+YBPu2xJlm05tnNDyLbMfd/56+ehl247cdLpVoBpYHTn
RcVisVh16px3MbQmG6eoPsuFNjFECIQmx0oQuRF5syY/KCgYE50wFZHzm8oiFlAsxJOobPB80oUJ
InXnAonKkySBmRqknYbFn53sceVASFUlpNCKKPemZizO0tIDJNYjVefn4Hn1nuIs5tfNLEoLew1n
BfIwuIBZSukB6mk+1jxF3jh1dSrL3aMkFZDosbsTW2rVuvZQhSQqKNbCgifU2lgQK2YxAlKnZe+4
c6FPRiLSzMhmwM7alXZeXnUqZu6t19azRmo3ogPy26DKPhFd3Z/YdRuPisZRpgFm8HAvU2sG2711
x4rS3vKleuVFRn+HRG07tcHTzlTck1ZiGijDKXswkNKrOBijJGXMUjdQpxqpy0Xsqe6JQdrnPK3Z
yxEWFE/dzA7OZGRwN7j72ucAKUwYvHGw4jQfYAMFR3XLG0qKI6V2tOIcEp3HjqwdelRhx2ppx2dK
K0sbrZJ1RMFD7WC5trXWKwtr9sb1LpU8yyjL6WqDOmns3QpSVK5ZNsNl1gfNhAPwPSdha2HEfjhx
VL/alKpk3qoqGpoxqWmUgtjoiYsUn2J/l0VE/p7iLZPIKdDl0lK0T0MkXvEWiWchZKmFlRv6UtCM
7gKfmKKHLVKdJJ5hT2LqBCdAG7rPDTXWsxansUQ37K2IVNttI5rZQjEwve0CZQ7eIJh2jp/NDA9B
4ihHWb5zpWSTGz47XWo7ODAqFHzIAU8qSwfJEAXaNZQYALyeiVp+xYJH/JjcuLGnfUFdIzihKMUE
zgt1ZUoleve9U6EUUXiOe454BfD6SsdbOu3bexupkbHuse/ZpsyVu2LImLOPt5hPnVLIutLL2rk2
BZsoE8f1CcXCW9LzS5zj57iopEspCvdtDbeKHZVCi0LIOxG1qhgFojARQbpNOGZRnU2be89rql1A
ve3Ez5uOaV3XSwUbB7I6VTiVi0CctFFgLxqMti1xEN3IQn9phA9UdmAemSmQ7oSmCGFFEmUhIqWC
252GNbLKyHyEwUxGuxOaRSNOkTlLZnHfMHxqo54JmtnNezfIt00FP9rVk/ROZMJsMG+vl74Mkhjf
N2PE0YdwIrMoixlduY7AI49bB0SBbXsF8YIf7hHE6bmVNJxGce/ecxiT4azk0gS5e3VUW2V2BaSz
uQDghrgAJWLpNjYS4UtkWNUMF7h0obUwZEaeFaYWrKeIQ09pStvcBAZn49FemAE26rVlBTOkiSm5
AI7Xe05ytTdOC56XhnXXTRe3DTOr0efJYJ4e29Vagc6uY4xjJPAu9AoIfe2ZjxYBf11aqza2aD8t
x20dI5XgySC+G/Ek0HN8tY3okDXtApHtnTmwJXSp9rYeWyLmOHG3KEzDmXVqni1JKJbLgLu8BdVb
7/GqIl9l2PpnMuHWKqEGeS8QMw1mODHKsCQG5zwedUrR01gjXZquIOxFtwZqo8RGmrZMRELaShEA
Z1pdK0wloIfU6nsNQ4xYEtpVFscs8XgIWXNAR5gfNUA8CPUTc2bnvgniocP0yC6Q8+hC2/hi6YJO
zUw0g88pIdI0tTprA8IovMnI4847HGIWuqy0ex3BAPaOIJa2YdVBBscp6ZyqHnZUWt+eC0XRFCOt
CeoxZV15alP+WPZkKi6syMr3Tmd7cwCo6U3K/sYSX6C72qnRVA+afG2Wslght5Hq0wrxLGCmWXJe
asioDMnm/CD2Tr0TYr0xRtglFmudGte0qToFt8FONm/DQhnK5/KjF8TWCdraNtXhzlO2pDpFym+K
95mFAya4WKB9mgpatW6NXj7JbRlccddFNxWp+3uUBMNtzOs+ctHW3dh5rW1CgI7IeAxF6cSF84/T
nlxsAzBlZwTXfjrUcrpF7sssNRmb6IWDbY418lwtxM0tMueB1OeXfkoMi9U8EjYoX6sTi1PMSiYP
O87CuLjSUbjGlM4wxl0ROJ9V3/TmSEApJm5jtb9sYl0eaQWwr4jw7ASiT3NT90q9s4hCzyu5YTfp
feVzBEnwxKol/84xKvYiu+k3Wg9YZBSkorPKVV9ax0WNq6SEmKLmh9pSTGtoaSSWZYgCvq7ta1Vw
IZgEirgHkRZkJA/69hoVF4Nci28VJB5KVcymjpVUpwIV06mSmJx2M1voZ5BoAJMDXrl1WxsTESOj
EpiqHAxM0qydKSdnkCpMRFoC48TM4cVIVa1NgPlGG6BvhFj+YPk3MnyvvgGTok800XfPbMir85x6
Md7yTaDf9hRFCRoQHymxMjkVAo2o0/ONZCRUajY1Mtvf+ghc8mjNPTgcVjBgdj1Jq5nYcQbnPqSx
jMJtDW1Wt4GPjKhJBiiKD7kHKeIpSaUlTXIhjK6UUEQ8EV2aekqxWb+DJIacPaoiQ+Je10HVC1kE
i01KMdP10JLhrglvBb299Gw/XHsqRQ5slTCMaVVEIf/fp3YNdXAfh3Qjq4MOrIbK7JsE+2Rf7l8k
Fzf76PA///Gx8/qnf8cPn74rZvvhJZ6zwYMtO3l5wEWq9pXNw6BrK2nwu5VnACw421f+N4oEKnBa
LNvJ4qigI37nf6NrK6qqTnvcztCk+VdQs5LydTZ44KWrMvLKEpwNtq6v+N9MbTJyYNGBz11VXbK2
dtLMmVH2GMTsCc0HxdaZWFwoVzGKPtW496+KzMPW+dpuEcvnxTFrFRxt9MWyYey6CzcC5SjMqMXP
aw4adhEtXfOua8Gnpw6MDO+6ar7ISIsIHfgPsb8ckkyN3J0pcH8U4SQ1H3NIyQuAnjWh+AMOjzAU
Vx0wlrhZJzgN2PojmZVxkBO3Ik8l6dCvgQhZuK/VUTzpoDyHbjePdAxr9RY/BISiNGEu6n4+86XS
GSdVuGndL7HFOTdu7kQrvipK8TzKeupKjmGONKVLpwXijGp8X4ZnulmjdQ3VhvItAE90vEOKorgE
Noa8heR46YRwb5Wc1UBeDHJIWIqGkF5WSouDTZGmZ0WVs4k65LQR/tV9cQvED+9FH3l2JaH4CvMu
ztRbkWWFxzStE9zSLMTZ7GamFgF7PzYMZTvx9XxCWmiteOW21JWNZCv3gaFv24S+ImCjkc+R8bjp
rhJWT5K1UwfDqRHJO7S1dNx3IFs5MH+9rROlbJCcREaq6W0yrMP9dv3mtfmg0i99U5ga3jvREEVD
QtXZQKP5faUBHHUBz1uwpm0fXZEPwlBRLbZtrS3Q9J5qMl5FoaGfkGqZh+kZ9bE5uMtTiM/VBFc4
vC+KIRVnW0vdC3HZEZF/ama5DwWuspWtUif46WiXiqpRyPWR80e5K4tPxUqd52l8ivSihHYUTGCw
sP25RmYK9gQeosQjPEL4to9qrl1owS3h9QyBpbGXRzPHD3CScsfAoABZDM5QxYoc+AQP5YmTCwvk
N7e5ls9qRd12orXS2Y1aWD1WC+TPLXc+Nn9MSQx9TlTpi64hf9xXJ2jFbMQEGrOQOGxHRuviMInH
aRfP0hoZ4HhtZOCbsP4lyXoXld0iDMWF06CpifQ+RhtVv+rbcmqa9r5LtVkSV1jAokBF2R7lMqkD
9qVey7KDZfJOzvN1DmWmkJpd3H7pfa09TeWOIgY8kdvMVgBOuFCzfGXq4mNBRhSija7OQEktMgTj
OPFlozrqzpwOJDqeA6gKlkp1mkGFS/X+y4+niTyUJ9+KogyzBFq1IkKcFEWUW97Pkj4hVgR6aE/1
JDg4QnVtM3x2Ln3Jcnfc1zn19/yC4+umr+ozp8iXftMOCeGRROJlRhkcfKnlT8jM4YVsnblyxNpV
XhRoP0CJQRXLrR9TLf6T2U327at+o1IO10BkAWeDkUCpvu93wfEoJTayp5mRG8iYKaCb6TDCkm1F
iMcZGcKqa84h5eD0qy8EAHijTKr2MnJ8aTzP3LBjs++1UZ7BVEjxoDmVHBk7NA8nNl8eyTqnda++
ZGGdK2G79fzqMhWkqx5AOlLWDzD6LyMVSwbFLAkm83IEcoQL6/i6kEVnaazlR7FC7M0pS2EFAZ80
CHY6AMOaC7eutyhlnqY6sa2nx9jZ2+jo6xZ+Or00UoJ6p0vhWY2+IQXz9BE2ljvVlHTXlMKj5Srh
2PT0R6r1l4Xu32BIOs/rAsCH9JiGiLyRNLBieuBkSw7Cox4dB9jLn5tImgOvtUZGftdgINuBGE2i
ZlpIgK6asVi7Y5w0ruMU7iIIIRXtSNJOa/BY2wKrhlEqok5mYp8rQTV1K3K15FgyQA56rN70QXbl
eO1ZBYpvUg/2GUK5UAbjIUdcaFl8qbnNQgRmjPH3vS2mlyH2opUM3RqYUO5reJGZWycWl0nabBsV
MGFoXkaSjHJspE8qEecUeBYejGPHFWc8+pUoIaddN+wy3jXIwkWN1UZpQIhF6zVZlXY/LTo0jNGo
DQ2y3MWN318O+uvkyidudWqlwZKs9XXOEM477DbgyiEVAFbMDPqpiybwADF4DFxOwaW+rciqwim9
zaKe9HvhxwtZDsVxrwCm9HWjvPYj4zyh6DQS0DeP86ZBzLQGae1jBaiCc+Y8Y0ZouVnXaoEzqJA8
IBY+Q80FokFir2JeQ6w/km2ZBQsYuzM/SS854l4Ejn+qyl0zAQc0ysh/gdST+H6JAVI1A+8ysZ0i
Zme68eVmgYTKIqpcFMdjD852ScjrxjdOoa3aXPkclmYy0vQbrc92bVSVU2b1MrONR1iRpzYKSdMG
TBqVZee0gyaKKh+1Roz8wqmm9ivQFCPI6WdAq/K5kYt7tcBhBBWWi0Tp9kFGXRPU940YKi6KlRzB
Pavb5mp5VffmSW2AZlZEbyoEywBkORSjGAG6Flixv4M5elPJ1anYtndRi7S0EAPCD5WF0CDRKIrb
SHcmANk/k4ccmTnm8qp1oVfC2gluOe6gTFmNLdjXRe2dK+gpdMx2FWnX3kNFghFrWwtNsSFv582T
ElyYlF3Ywl0dkCLoxS+tgxK+3M6kyrr3yf+T90MYW9MubOsQGWwZ1lQVNrm5ScnBKWdxdUFGeZtj
P1wpiBMoF3WHZIxvXkVtgWgweoMAWfGdJN2LRKN/CLwOJDJSxsWNYe0aDe5jix9QSH7CnUjybeVc
Gg4YRTMfmer5oFXiFM0F5WGmi0CRHkKjl47cfiUiZ81BG/2bbuFhawcEXuPYHTyJpOjsD2dSc0+e
mfSGclOixqN3vNeBfGNaW8qbEBzPxYGNy1p5ndlyMK4wI3S8uwbqUVQ9tn4yjlLrrlWUEDuv4k5I
9YWXO5gpSQ91g/paZbkIyiXWpANZS+65Qfsvg+STmEufWvgILGExMZ3os9cJzrSVO/VByGWJSjU8
AcUwZ03SnyIms3OdzJj0vrSzAuE26brrJOh3PdXX3i4NCBa5N1ZiRV06ZRBOqRXElNHialI38X1S
9XOzNxYlyCwUA5BqBGpNXNVeUgZyRrmYThs0JCLAfiUKJBVFcb2xqelSOex14y6q6xPYMgezq3ZI
46TjzJeBNHTOJEFJdoTESjC1DeqmqIVP/LrchUpPaEd2o1dXSYpgr4g/jzR3Sv2EWvZESvI13ois
voDRMw0n0HIOlleeqKjaziCTA9gCGzeB1+GhE5QL5MmtchoGQjf6L7fHcwVfZ2uaatY2oAAwIgLb
eWJ0AyeTUmdCJcgp7AvFlU4YG2+KkPFg5IxNQGLgz27EFcxlAZaYGumXv+o8egSIaPiqc0iGo9/0
iUR5Xh3y7uKA02lZvHIQh79uEy8ud8nf+6cfN/Ry5tx1KWfO/UOEnTeWm7l3X74FF8ngCb+GJD11
6qnHP2oj3JdeWT3QOPJ2JgpfmiUTWYVJ7Lz83tB+UyXdRGEM2NHweb7Qm8H53u3/+M6ex/HH//Oj
nr/xP8Cllz6/I67+1buXld+0QfhEw+Lg6cPh/+0gmPBTTVT/oUj+nw4Ca0ZcDpPQ8ZL47RR4Olb9
zBB81cIfE0DGGVIbNKmH+Hr4IDT3dgiswSkHFTpFe/7z85D/g+aBosPrPX4emBoJINF4/xaYWGoY
vGbYaT5/ni/0D7p7SSR1hXbksQNg/qZziOGwpT8/5q9eBOM3BlkFA/DyIgBAZNb9g8aBcqD83Kk/
lu+/uhoAswRfKQ54yg8HQUd3kZI66bp/6GRQSP2RRvmZ9eCrTeXNeqD/ZpEH5aV6HgPx/Uwwxd/A
mLJiwNl/+vyFfeEnpsvvG+zYRZf0aWv1DsVHO/D3/uF1a/n27y/bypN3Dtmod/847LTP137eYIaf
//VujJ4m+5s/vk7+p+u8fP3lBr+99Ltrvd7V6y8X3iHf5/du9/SH7qWbz/lmEstuvv+0zfcPh8J9
t/JrOnnfPzr0TZzw+yz4Yfuozu/v3X340SVAJ/+KSxTFPnrt6TD4sjRkcY7tOUWtff7azNCsYsls
Xcc2u9jn3dcYbkUbANdHt+xF3x1pCb8vlvBjL3GyR8L003/uo/S/P53uIft570ZI0pQhjDv2Kqf7
PCb8DfavTT27UUGMef3Fh3HrT83HU16F8KuGVYuk4LGdXu2Dwt0/NIdD+trYU7cNosjXX/z9bq/3
D2738Wv6HKUe2/2zB4/uv3b06S0ir/gLHua2eqju3UOed+8a15XBH+/YXm+r2N/fvbbz1OvnI8ux
DV/s/X1RIknzrm0Kab9gRC69IPDeLVgkn7VfMLd3+8gLP232D9XbXmPmrhNVHjsiTyo9Hy3iLzHB
se1fH4ry0+gAwSV87ezwPF+C72NbX+9ZzFmwyvzdHH8J6o5tfV75tP7u6GxwcpaVX7BfzJN3PR7a
RazqdYj+/orCxv+7OerGu0/u9vmnZQHD6KF4bXwYf6TpJelXzPp//ygQ4JAhSk8VumMfxdrDTv19
ODA0bsjWL9hhd7mXoqv9dnxeGv8Fb+/Hlf9vrkW1/vV3f//hb/a8Zjzq15aGJ82dcNAbbBOPfgaD
bU31PjJ4bvwXDNP64BBN7ruvn8LQ918QTE4Ooeu9DsEfwzKcf48dlu/iN55H/smM+Puiaj8V3fyp
S8XR7f+578CRl/gJNbgjr/CnZqdHtv+nPM0j21/tH1DLe52PT4u0ir0mTuGcq2HCy7Ki/IIX7eP1
6O8gkX54vx8daX9P/Hx70H1N7370tfen+OE/7sPDPv/X/wIAAP//</cx:binary>
              </cx:geoCache>
            </cx:geography>
          </cx:layoutPr>
        </cx:series>
      </cx:plotAreaRegion>
    </cx:plotArea>
  </cx:chart>
  <cx:spPr>
    <a:noFill/>
    <a:ln w="12700" cap="rnd">
      <a:solidFill>
        <a:srgbClr val="C00000"/>
      </a:solidFill>
      <a:prstDash val="solid"/>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microsoft.com/office/2014/relationships/chartEx" Target="../charts/chartEx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33</xdr:col>
      <xdr:colOff>600668</xdr:colOff>
      <xdr:row>46</xdr:row>
      <xdr:rowOff>5730</xdr:rowOff>
    </xdr:to>
    <xdr:sp macro="" textlink="">
      <xdr:nvSpPr>
        <xdr:cNvPr id="5" name="Rectangle 4">
          <a:extLst>
            <a:ext uri="{FF2B5EF4-FFF2-40B4-BE49-F238E27FC236}">
              <a16:creationId xmlns:a16="http://schemas.microsoft.com/office/drawing/2014/main" id="{FB3759F6-7C5B-F654-E1DA-2747677AAB34}"/>
            </a:ext>
          </a:extLst>
        </xdr:cNvPr>
        <xdr:cNvSpPr/>
      </xdr:nvSpPr>
      <xdr:spPr>
        <a:xfrm>
          <a:off x="0" y="0"/>
          <a:ext cx="20355668" cy="8630730"/>
        </a:xfrm>
        <a:prstGeom prst="rect">
          <a:avLst/>
        </a:prstGeom>
        <a:gradFill flip="none" rotWithShape="1">
          <a:gsLst>
            <a:gs pos="0">
              <a:schemeClr val="accent5">
                <a:lumMod val="34000"/>
                <a:lumOff val="66000"/>
              </a:schemeClr>
            </a:gs>
            <a:gs pos="100000">
              <a:schemeClr val="tx2">
                <a:lumMod val="65000"/>
                <a:lumOff val="35000"/>
              </a:schemeClr>
            </a:gs>
          </a:gsLst>
          <a:lin ang="135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281111</xdr:colOff>
      <xdr:row>6</xdr:row>
      <xdr:rowOff>1104</xdr:rowOff>
    </xdr:from>
    <xdr:to>
      <xdr:col>2</xdr:col>
      <xdr:colOff>605232</xdr:colOff>
      <xdr:row>11</xdr:row>
      <xdr:rowOff>159970</xdr:rowOff>
    </xdr:to>
    <xdr:graphicFrame macro="">
      <xdr:nvGraphicFramePr>
        <xdr:cNvPr id="2" name="Chart 1">
          <a:extLst>
            <a:ext uri="{FF2B5EF4-FFF2-40B4-BE49-F238E27FC236}">
              <a16:creationId xmlns:a16="http://schemas.microsoft.com/office/drawing/2014/main" id="{964D8992-643C-4F72-B09A-9B1A9B536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252411</xdr:colOff>
      <xdr:row>1</xdr:row>
      <xdr:rowOff>4761</xdr:rowOff>
    </xdr:from>
    <xdr:to>
      <xdr:col>6</xdr:col>
      <xdr:colOff>472036</xdr:colOff>
      <xdr:row>5</xdr:row>
      <xdr:rowOff>120135</xdr:rowOff>
    </xdr:to>
    <xdr:sp macro="" textlink="">
      <xdr:nvSpPr>
        <xdr:cNvPr id="3" name="Rectangle: Rounded Corners 2">
          <a:extLst>
            <a:ext uri="{FF2B5EF4-FFF2-40B4-BE49-F238E27FC236}">
              <a16:creationId xmlns:a16="http://schemas.microsoft.com/office/drawing/2014/main" id="{2217485C-7F1E-80EE-67D9-4CE2BEEC20EA}"/>
            </a:ext>
          </a:extLst>
        </xdr:cNvPr>
        <xdr:cNvSpPr/>
      </xdr:nvSpPr>
      <xdr:spPr>
        <a:xfrm>
          <a:off x="252411" y="193545"/>
          <a:ext cx="3583409" cy="870509"/>
        </a:xfrm>
        <a:prstGeom prst="roundRect">
          <a:avLst/>
        </a:prstGeom>
        <a:noFill/>
        <a:ln w="127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87022</xdr:colOff>
      <xdr:row>0</xdr:row>
      <xdr:rowOff>124982</xdr:rowOff>
    </xdr:from>
    <xdr:to>
      <xdr:col>7</xdr:col>
      <xdr:colOff>38083</xdr:colOff>
      <xdr:row>5</xdr:row>
      <xdr:rowOff>154460</xdr:rowOff>
    </xdr:to>
    <xdr:sp macro="" textlink="">
      <xdr:nvSpPr>
        <xdr:cNvPr id="6" name="TextBox 5">
          <a:extLst>
            <a:ext uri="{FF2B5EF4-FFF2-40B4-BE49-F238E27FC236}">
              <a16:creationId xmlns:a16="http://schemas.microsoft.com/office/drawing/2014/main" id="{53322783-73A0-D664-7FBD-1D27B6B89A57}"/>
            </a:ext>
          </a:extLst>
        </xdr:cNvPr>
        <xdr:cNvSpPr txBox="1"/>
      </xdr:nvSpPr>
      <xdr:spPr>
        <a:xfrm>
          <a:off x="87022" y="124982"/>
          <a:ext cx="3924102" cy="973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000" b="1">
              <a:solidFill>
                <a:schemeClr val="bg1"/>
              </a:solidFill>
            </a:rPr>
            <a:t>E-Commerce</a:t>
          </a:r>
          <a:r>
            <a:rPr lang="en-ID" sz="2000" b="1" baseline="0">
              <a:solidFill>
                <a:schemeClr val="bg1"/>
              </a:solidFill>
            </a:rPr>
            <a:t> Sales </a:t>
          </a:r>
          <a:r>
            <a:rPr lang="en-ID" sz="1800" b="1" baseline="0">
              <a:solidFill>
                <a:schemeClr val="bg1"/>
              </a:solidFill>
            </a:rPr>
            <a:t>Performance</a:t>
          </a:r>
          <a:endParaRPr lang="en-ID" sz="1800" b="1">
            <a:solidFill>
              <a:schemeClr val="bg1"/>
            </a:solidFill>
          </a:endParaRPr>
        </a:p>
      </xdr:txBody>
    </xdr:sp>
    <xdr:clientData/>
  </xdr:twoCellAnchor>
  <xdr:twoCellAnchor>
    <xdr:from>
      <xdr:col>0</xdr:col>
      <xdr:colOff>247967</xdr:colOff>
      <xdr:row>6</xdr:row>
      <xdr:rowOff>69579</xdr:rowOff>
    </xdr:from>
    <xdr:to>
      <xdr:col>3</xdr:col>
      <xdr:colOff>18906</xdr:colOff>
      <xdr:row>12</xdr:row>
      <xdr:rowOff>2188</xdr:rowOff>
    </xdr:to>
    <xdr:sp macro="" textlink="">
      <xdr:nvSpPr>
        <xdr:cNvPr id="7" name="Rectangle: Rounded Corners 6">
          <a:extLst>
            <a:ext uri="{FF2B5EF4-FFF2-40B4-BE49-F238E27FC236}">
              <a16:creationId xmlns:a16="http://schemas.microsoft.com/office/drawing/2014/main" id="{5ABC66BF-9A3C-4196-81C5-953766D32C7D}"/>
            </a:ext>
          </a:extLst>
        </xdr:cNvPr>
        <xdr:cNvSpPr/>
      </xdr:nvSpPr>
      <xdr:spPr>
        <a:xfrm>
          <a:off x="247967" y="1208904"/>
          <a:ext cx="1305352" cy="1071934"/>
        </a:xfrm>
        <a:prstGeom prst="roundRect">
          <a:avLst/>
        </a:prstGeom>
        <a:noFill/>
        <a:ln w="127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3</xdr:col>
      <xdr:colOff>162092</xdr:colOff>
      <xdr:row>6</xdr:row>
      <xdr:rowOff>65091</xdr:rowOff>
    </xdr:from>
    <xdr:to>
      <xdr:col>5</xdr:col>
      <xdr:colOff>248746</xdr:colOff>
      <xdr:row>11</xdr:row>
      <xdr:rowOff>187588</xdr:rowOff>
    </xdr:to>
    <xdr:sp macro="" textlink="">
      <xdr:nvSpPr>
        <xdr:cNvPr id="9" name="Rectangle: Rounded Corners 8">
          <a:extLst>
            <a:ext uri="{FF2B5EF4-FFF2-40B4-BE49-F238E27FC236}">
              <a16:creationId xmlns:a16="http://schemas.microsoft.com/office/drawing/2014/main" id="{3326B3A4-7A0F-4E3C-83AD-00D0FF8227E3}"/>
            </a:ext>
          </a:extLst>
        </xdr:cNvPr>
        <xdr:cNvSpPr/>
      </xdr:nvSpPr>
      <xdr:spPr>
        <a:xfrm>
          <a:off x="1696505" y="1204416"/>
          <a:ext cx="1305609" cy="1071934"/>
        </a:xfrm>
        <a:prstGeom prst="roundRect">
          <a:avLst/>
        </a:prstGeom>
        <a:noFill/>
        <a:ln w="127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388875</xdr:colOff>
      <xdr:row>6</xdr:row>
      <xdr:rowOff>70620</xdr:rowOff>
    </xdr:from>
    <xdr:to>
      <xdr:col>7</xdr:col>
      <xdr:colOff>475909</xdr:colOff>
      <xdr:row>12</xdr:row>
      <xdr:rowOff>3229</xdr:rowOff>
    </xdr:to>
    <xdr:sp macro="" textlink="">
      <xdr:nvSpPr>
        <xdr:cNvPr id="16" name="Rectangle: Rounded Corners 15">
          <a:extLst>
            <a:ext uri="{FF2B5EF4-FFF2-40B4-BE49-F238E27FC236}">
              <a16:creationId xmlns:a16="http://schemas.microsoft.com/office/drawing/2014/main" id="{871B7FC3-91A0-438E-8A08-E801C57A2BD9}"/>
            </a:ext>
          </a:extLst>
        </xdr:cNvPr>
        <xdr:cNvSpPr/>
      </xdr:nvSpPr>
      <xdr:spPr>
        <a:xfrm>
          <a:off x="3142243" y="1209945"/>
          <a:ext cx="1305989" cy="1071934"/>
        </a:xfrm>
        <a:prstGeom prst="roundRect">
          <a:avLst/>
        </a:prstGeom>
        <a:noFill/>
        <a:ln w="127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7</xdr:col>
      <xdr:colOff>605206</xdr:colOff>
      <xdr:row>6</xdr:row>
      <xdr:rowOff>75320</xdr:rowOff>
    </xdr:from>
    <xdr:to>
      <xdr:col>10</xdr:col>
      <xdr:colOff>82382</xdr:colOff>
      <xdr:row>12</xdr:row>
      <xdr:rowOff>7929</xdr:rowOff>
    </xdr:to>
    <xdr:sp macro="" textlink="">
      <xdr:nvSpPr>
        <xdr:cNvPr id="17" name="Rectangle: Rounded Corners 16">
          <a:extLst>
            <a:ext uri="{FF2B5EF4-FFF2-40B4-BE49-F238E27FC236}">
              <a16:creationId xmlns:a16="http://schemas.microsoft.com/office/drawing/2014/main" id="{7B5BE8AF-BACA-44C4-A3B4-1179FF98C4CB}"/>
            </a:ext>
          </a:extLst>
        </xdr:cNvPr>
        <xdr:cNvSpPr/>
      </xdr:nvSpPr>
      <xdr:spPr>
        <a:xfrm>
          <a:off x="4577529" y="1214645"/>
          <a:ext cx="1305609" cy="1071934"/>
        </a:xfrm>
        <a:prstGeom prst="roundRect">
          <a:avLst/>
        </a:prstGeom>
        <a:noFill/>
        <a:ln w="127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3</xdr:col>
      <xdr:colOff>169333</xdr:colOff>
      <xdr:row>6</xdr:row>
      <xdr:rowOff>41694</xdr:rowOff>
    </xdr:from>
    <xdr:to>
      <xdr:col>5</xdr:col>
      <xdr:colOff>254000</xdr:colOff>
      <xdr:row>11</xdr:row>
      <xdr:rowOff>163850</xdr:rowOff>
    </xdr:to>
    <xdr:graphicFrame macro="">
      <xdr:nvGraphicFramePr>
        <xdr:cNvPr id="18" name="Chart 7">
          <a:extLst>
            <a:ext uri="{FF2B5EF4-FFF2-40B4-BE49-F238E27FC236}">
              <a16:creationId xmlns:a16="http://schemas.microsoft.com/office/drawing/2014/main" id="{7500CED6-FF49-56C4-5689-C070D06D43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433692</xdr:colOff>
      <xdr:row>6</xdr:row>
      <xdr:rowOff>117554</xdr:rowOff>
    </xdr:from>
    <xdr:to>
      <xdr:col>7</xdr:col>
      <xdr:colOff>420992</xdr:colOff>
      <xdr:row>11</xdr:row>
      <xdr:rowOff>138720</xdr:rowOff>
    </xdr:to>
    <xdr:graphicFrame macro="">
      <xdr:nvGraphicFramePr>
        <xdr:cNvPr id="19" name="Chart 18">
          <a:extLst>
            <a:ext uri="{FF2B5EF4-FFF2-40B4-BE49-F238E27FC236}">
              <a16:creationId xmlns:a16="http://schemas.microsoft.com/office/drawing/2014/main" id="{131EAE7C-D14D-4BF5-A735-D1ED07238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65120</xdr:colOff>
      <xdr:row>6</xdr:row>
      <xdr:rowOff>85020</xdr:rowOff>
    </xdr:from>
    <xdr:to>
      <xdr:col>10</xdr:col>
      <xdr:colOff>48188</xdr:colOff>
      <xdr:row>11</xdr:row>
      <xdr:rowOff>177541</xdr:rowOff>
    </xdr:to>
    <xdr:graphicFrame macro="">
      <xdr:nvGraphicFramePr>
        <xdr:cNvPr id="20" name="Chart 19">
          <a:extLst>
            <a:ext uri="{FF2B5EF4-FFF2-40B4-BE49-F238E27FC236}">
              <a16:creationId xmlns:a16="http://schemas.microsoft.com/office/drawing/2014/main" id="{D67134B5-DF19-4FDA-8A2B-CE05125A74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278509</xdr:colOff>
      <xdr:row>12</xdr:row>
      <xdr:rowOff>116974</xdr:rowOff>
    </xdr:from>
    <xdr:to>
      <xdr:col>5</xdr:col>
      <xdr:colOff>306846</xdr:colOff>
      <xdr:row>22</xdr:row>
      <xdr:rowOff>95889</xdr:rowOff>
    </xdr:to>
    <xdr:graphicFrame macro="">
      <xdr:nvGraphicFramePr>
        <xdr:cNvPr id="21" name="Chart 20">
          <a:extLst>
            <a:ext uri="{FF2B5EF4-FFF2-40B4-BE49-F238E27FC236}">
              <a16:creationId xmlns:a16="http://schemas.microsoft.com/office/drawing/2014/main" id="{5CFD0090-C265-4116-B026-EE4E42F64E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281277</xdr:colOff>
      <xdr:row>23</xdr:row>
      <xdr:rowOff>25570</xdr:rowOff>
    </xdr:from>
    <xdr:to>
      <xdr:col>5</xdr:col>
      <xdr:colOff>300454</xdr:colOff>
      <xdr:row>33</xdr:row>
      <xdr:rowOff>83104</xdr:rowOff>
    </xdr:to>
    <xdr:graphicFrame macro="">
      <xdr:nvGraphicFramePr>
        <xdr:cNvPr id="22" name="Chart 21">
          <a:extLst>
            <a:ext uri="{FF2B5EF4-FFF2-40B4-BE49-F238E27FC236}">
              <a16:creationId xmlns:a16="http://schemas.microsoft.com/office/drawing/2014/main" id="{134FB204-DFE8-4768-A573-9E74A3F3D7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417421</xdr:colOff>
      <xdr:row>12</xdr:row>
      <xdr:rowOff>110852</xdr:rowOff>
    </xdr:from>
    <xdr:to>
      <xdr:col>10</xdr:col>
      <xdr:colOff>94429</xdr:colOff>
      <xdr:row>22</xdr:row>
      <xdr:rowOff>86218</xdr:rowOff>
    </xdr:to>
    <xdr:graphicFrame macro="">
      <xdr:nvGraphicFramePr>
        <xdr:cNvPr id="23" name="Chart 22">
          <a:extLst>
            <a:ext uri="{FF2B5EF4-FFF2-40B4-BE49-F238E27FC236}">
              <a16:creationId xmlns:a16="http://schemas.microsoft.com/office/drawing/2014/main" id="{34D86419-04BB-4625-8234-700655690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419505</xdr:colOff>
      <xdr:row>23</xdr:row>
      <xdr:rowOff>13803</xdr:rowOff>
    </xdr:from>
    <xdr:to>
      <xdr:col>10</xdr:col>
      <xdr:colOff>110435</xdr:colOff>
      <xdr:row>33</xdr:row>
      <xdr:rowOff>117337</xdr:rowOff>
    </xdr:to>
    <xdr:graphicFrame macro="">
      <xdr:nvGraphicFramePr>
        <xdr:cNvPr id="24" name="Chart 23">
          <a:extLst>
            <a:ext uri="{FF2B5EF4-FFF2-40B4-BE49-F238E27FC236}">
              <a16:creationId xmlns:a16="http://schemas.microsoft.com/office/drawing/2014/main" id="{ABF282E6-69F9-4535-9BBF-43EBE4A2C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226830</xdr:colOff>
      <xdr:row>6</xdr:row>
      <xdr:rowOff>79376</xdr:rowOff>
    </xdr:from>
    <xdr:to>
      <xdr:col>13</xdr:col>
      <xdr:colOff>184354</xdr:colOff>
      <xdr:row>20</xdr:row>
      <xdr:rowOff>176876</xdr:rowOff>
    </xdr:to>
    <xdr:graphicFrame macro="">
      <xdr:nvGraphicFramePr>
        <xdr:cNvPr id="25" name="Chart 24">
          <a:extLst>
            <a:ext uri="{FF2B5EF4-FFF2-40B4-BE49-F238E27FC236}">
              <a16:creationId xmlns:a16="http://schemas.microsoft.com/office/drawing/2014/main" id="{62846CF0-0258-4BF8-8414-BBAD707335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238125</xdr:colOff>
      <xdr:row>21</xdr:row>
      <xdr:rowOff>76815</xdr:rowOff>
    </xdr:from>
    <xdr:to>
      <xdr:col>18</xdr:col>
      <xdr:colOff>445524</xdr:colOff>
      <xdr:row>33</xdr:row>
      <xdr:rowOff>145947</xdr:rowOff>
    </xdr:to>
    <xdr:graphicFrame macro="">
      <xdr:nvGraphicFramePr>
        <xdr:cNvPr id="26" name="Chart 25">
          <a:extLst>
            <a:ext uri="{FF2B5EF4-FFF2-40B4-BE49-F238E27FC236}">
              <a16:creationId xmlns:a16="http://schemas.microsoft.com/office/drawing/2014/main" id="{495CB1C3-E60B-497B-92D0-801C519E2C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7</xdr:col>
      <xdr:colOff>69134</xdr:colOff>
      <xdr:row>1</xdr:row>
      <xdr:rowOff>0</xdr:rowOff>
    </xdr:from>
    <xdr:to>
      <xdr:col>11</xdr:col>
      <xdr:colOff>403250</xdr:colOff>
      <xdr:row>5</xdr:row>
      <xdr:rowOff>167855</xdr:rowOff>
    </xdr:to>
    <mc:AlternateContent xmlns:mc="http://schemas.openxmlformats.org/markup-compatibility/2006" xmlns:a14="http://schemas.microsoft.com/office/drawing/2010/main">
      <mc:Choice Requires="a14">
        <xdr:graphicFrame macro="">
          <xdr:nvGraphicFramePr>
            <xdr:cNvPr id="27" name="Quarters (Order Date)">
              <a:extLst>
                <a:ext uri="{FF2B5EF4-FFF2-40B4-BE49-F238E27FC236}">
                  <a16:creationId xmlns:a16="http://schemas.microsoft.com/office/drawing/2014/main" id="{6982FC7A-48AF-418C-B249-2575307E35BA}"/>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mlns="">
        <xdr:sp macro="" textlink="">
          <xdr:nvSpPr>
            <xdr:cNvPr id="0" name=""/>
            <xdr:cNvSpPr>
              <a:spLocks noTextEdit="1"/>
            </xdr:cNvSpPr>
          </xdr:nvSpPr>
          <xdr:spPr>
            <a:xfrm>
              <a:off x="4025082" y="192036"/>
              <a:ext cx="2761454" cy="9360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599154</xdr:colOff>
      <xdr:row>0</xdr:row>
      <xdr:rowOff>176674</xdr:rowOff>
    </xdr:from>
    <xdr:to>
      <xdr:col>14</xdr:col>
      <xdr:colOff>499295</xdr:colOff>
      <xdr:row>5</xdr:row>
      <xdr:rowOff>176674</xdr:rowOff>
    </xdr:to>
    <mc:AlternateContent xmlns:mc="http://schemas.openxmlformats.org/markup-compatibility/2006" xmlns:a14="http://schemas.microsoft.com/office/drawing/2010/main">
      <mc:Choice Requires="a14">
        <xdr:graphicFrame macro="">
          <xdr:nvGraphicFramePr>
            <xdr:cNvPr id="28" name="State">
              <a:extLst>
                <a:ext uri="{FF2B5EF4-FFF2-40B4-BE49-F238E27FC236}">
                  <a16:creationId xmlns:a16="http://schemas.microsoft.com/office/drawing/2014/main" id="{F3A8F96E-8871-4845-BDD1-F6935BB4B68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6982440" y="176674"/>
              <a:ext cx="1720645" cy="96018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310330</xdr:colOff>
      <xdr:row>6</xdr:row>
      <xdr:rowOff>76353</xdr:rowOff>
    </xdr:from>
    <xdr:to>
      <xdr:col>18</xdr:col>
      <xdr:colOff>420687</xdr:colOff>
      <xdr:row>21</xdr:row>
      <xdr:rowOff>13939</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FB1EE788-EA6B-DFBD-0255-D1EEA5FC83D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7962080" y="1219353"/>
              <a:ext cx="3166295" cy="2795086"/>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46831</xdr:colOff>
      <xdr:row>0</xdr:row>
      <xdr:rowOff>157956</xdr:rowOff>
    </xdr:from>
    <xdr:to>
      <xdr:col>18</xdr:col>
      <xdr:colOff>388937</xdr:colOff>
      <xdr:row>5</xdr:row>
      <xdr:rowOff>119856</xdr:rowOff>
    </xdr:to>
    <xdr:sp macro="" textlink="">
      <xdr:nvSpPr>
        <xdr:cNvPr id="10" name="Rectangle: Rounded Corners 9">
          <a:extLst>
            <a:ext uri="{FF2B5EF4-FFF2-40B4-BE49-F238E27FC236}">
              <a16:creationId xmlns:a16="http://schemas.microsoft.com/office/drawing/2014/main" id="{9148F14A-1D19-3DA0-17FC-10C9BE5119FE}"/>
            </a:ext>
          </a:extLst>
        </xdr:cNvPr>
        <xdr:cNvSpPr/>
      </xdr:nvSpPr>
      <xdr:spPr>
        <a:xfrm>
          <a:off x="8920956" y="157956"/>
          <a:ext cx="2175669" cy="914400"/>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814691</xdr:colOff>
      <xdr:row>34</xdr:row>
      <xdr:rowOff>188879</xdr:rowOff>
    </xdr:from>
    <xdr:to>
      <xdr:col>14</xdr:col>
      <xdr:colOff>259404</xdr:colOff>
      <xdr:row>49</xdr:row>
      <xdr:rowOff>44180</xdr:rowOff>
    </xdr:to>
    <xdr:graphicFrame macro="">
      <xdr:nvGraphicFramePr>
        <xdr:cNvPr id="12" name="Chart 11">
          <a:extLst>
            <a:ext uri="{FF2B5EF4-FFF2-40B4-BE49-F238E27FC236}">
              <a16:creationId xmlns:a16="http://schemas.microsoft.com/office/drawing/2014/main" id="{3E583EA4-EFEB-5869-69D8-47BBFFEB52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el" refreshedDate="45989.569033217595" createdVersion="8" refreshedVersion="8" minRefreshableVersion="3" recordCount="500" xr:uid="{AE484304-890A-4C7D-962E-BCE8CBEE0434}">
  <cacheSource type="worksheet">
    <worksheetSource name="Orders4"/>
  </cacheSource>
  <cacheFields count="16">
    <cacheField name="Order ID" numFmtId="0">
      <sharedItems/>
    </cacheField>
    <cacheField name="Order Date" numFmtId="14">
      <sharedItems containsSemiMixedTypes="0" containsNonDate="0" containsDate="1" containsString="0" minDate="2018-01-01T00:00:00" maxDate="2019-01-01T00:00:00" count="307">
        <d v="2018-04-01T00:00:00"/>
        <d v="2018-04-03T00:00:00"/>
        <d v="2018-04-05T00:00:00"/>
        <d v="2018-04-06T00:00:00"/>
        <d v="2018-04-08T00:00:00"/>
        <d v="2018-04-09T00:00:00"/>
        <d v="2018-04-11T00:00:00"/>
        <d v="2018-04-12T00:00:00"/>
        <d v="2018-04-13T00:00:00"/>
        <d v="2018-04-15T00:00:00"/>
        <d v="2018-04-17T00:00:00"/>
        <d v="2018-04-18T00:00:00"/>
        <d v="2018-04-20T00:00:00"/>
        <d v="2018-04-22T00:00:00"/>
        <d v="2018-04-23T00:00:00"/>
        <d v="2018-04-24T00:00:00"/>
        <d v="2018-04-25T00:00:00"/>
        <d v="2018-04-26T00:00:00"/>
        <d v="2018-04-27T00:00:00"/>
        <d v="2018-04-28T00:00:00"/>
        <d v="2018-04-29T00:00:00"/>
        <d v="2018-04-30T00:00:00"/>
        <d v="2018-05-01T00:00:00"/>
        <d v="2018-05-03T00:00:00"/>
        <d v="2018-05-04T00:00:00"/>
        <d v="2018-05-05T00:00:00"/>
        <d v="2018-05-06T00:00:00"/>
        <d v="2018-05-07T00:00:00"/>
        <d v="2018-05-08T00:00:00"/>
        <d v="2018-05-10T00:00:00"/>
        <d v="2018-05-11T00:00:00"/>
        <d v="2018-05-13T00:00:00"/>
        <d v="2018-05-14T00:00:00"/>
        <d v="2018-05-15T00:00:00"/>
        <d v="2018-05-16T00:00:00"/>
        <d v="2018-05-17T00:00:00"/>
        <d v="2018-05-19T00:00:00"/>
        <d v="2018-05-20T00:00:00"/>
        <d v="2018-05-21T00:00:00"/>
        <d v="2018-05-22T00:00:00"/>
        <d v="2018-05-23T00:00:00"/>
        <d v="2018-05-24T00:00:00"/>
        <d v="2018-05-25T00:00:00"/>
        <d v="2018-05-27T00:00:00"/>
        <d v="2018-05-28T00:00:00"/>
        <d v="2018-05-31T00:00:00"/>
        <d v="2018-06-01T00:00:00"/>
        <d v="2018-06-02T00:00:00"/>
        <d v="2018-06-03T00:00:00"/>
        <d v="2018-06-04T00:00:00"/>
        <d v="2018-06-07T00:00:00"/>
        <d v="2018-06-08T00:00:00"/>
        <d v="2018-06-09T00:00:00"/>
        <d v="2018-06-10T00:00:00"/>
        <d v="2018-06-11T00:00:00"/>
        <d v="2018-06-14T00:00:00"/>
        <d v="2018-06-15T00:00:00"/>
        <d v="2018-06-16T00:00:00"/>
        <d v="2018-06-17T00:00:00"/>
        <d v="2018-06-18T00:00:00"/>
        <d v="2018-06-21T00:00:00"/>
        <d v="2018-06-22T00:00:00"/>
        <d v="2018-06-23T00:00:00"/>
        <d v="2018-06-24T00:00:00"/>
        <d v="2018-06-25T00:00:00"/>
        <d v="2018-06-26T00:00:00"/>
        <d v="2018-06-27T00:00:00"/>
        <d v="2018-06-28T00:00:00"/>
        <d v="2018-06-29T00:00:00"/>
        <d v="2018-06-30T00:00:00"/>
        <d v="2018-07-01T00:00:00"/>
        <d v="2018-07-05T00:00:00"/>
        <d v="2018-07-06T00:00:00"/>
        <d v="2018-07-07T00:00:00"/>
        <d v="2018-07-08T00:00:00"/>
        <d v="2018-07-09T00:00:00"/>
        <d v="2018-07-10T00:00:00"/>
        <d v="2018-07-11T00:00:00"/>
        <d v="2018-07-12T00:00:00"/>
        <d v="2018-07-15T00:00:00"/>
        <d v="2018-07-16T00:00:00"/>
        <d v="2018-07-17T00:00:00"/>
        <d v="2018-07-18T00:00:00"/>
        <d v="2018-07-19T00:00:00"/>
        <d v="2018-07-20T00:00:00"/>
        <d v="2018-07-21T00:00:00"/>
        <d v="2018-07-22T00:00:00"/>
        <d v="2018-07-26T00:00:00"/>
        <d v="2018-07-27T00:00:00"/>
        <d v="2018-07-28T00:00:00"/>
        <d v="2018-07-29T00:00:00"/>
        <d v="2018-07-30T00:00:00"/>
        <d v="2018-07-31T00:00:00"/>
        <d v="2018-08-01T00:00:00"/>
        <d v="2018-08-02T00:00:00"/>
        <d v="2018-08-03T00:00:00"/>
        <d v="2018-08-07T00:00:00"/>
        <d v="2018-08-08T00:00:00"/>
        <d v="2018-08-09T00:00:00"/>
        <d v="2018-08-10T00:00:00"/>
        <d v="2018-08-11T00:00:00"/>
        <d v="2018-08-12T00:00:00"/>
        <d v="2018-08-13T00:00:00"/>
        <d v="2018-08-14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6T00:00:00"/>
        <d v="2018-09-07T00:00:00"/>
        <d v="2018-09-08T00:00:00"/>
        <d v="2018-09-09T00:00:00"/>
        <d v="2018-09-10T00:00:00"/>
        <d v="2018-09-11T00:00:00"/>
        <d v="2018-09-12T00:00:00"/>
        <d v="2018-09-13T00:00:00"/>
        <d v="2018-09-14T00:00:00"/>
        <d v="2018-09-15T00:00:00"/>
        <d v="2018-09-19T00:00:00"/>
        <d v="2018-09-20T00:00:00"/>
        <d v="2018-09-21T00:00:00"/>
        <d v="2018-09-22T00:00:00"/>
        <d v="2018-09-23T00:00:00"/>
        <d v="2018-09-24T00:00:00"/>
        <d v="2018-09-30T00:00:00"/>
        <d v="2018-10-01T00:00:00"/>
        <d v="2018-10-05T00:00:00"/>
        <d v="2018-10-06T00:00:00"/>
        <d v="2018-10-07T00:00:00"/>
        <d v="2018-10-08T00:00:00"/>
        <d v="2018-10-09T00:00:00"/>
        <d v="2018-10-10T00:00:00"/>
        <d v="2018-10-12T00:00:00"/>
        <d v="2018-10-13T00:00:00"/>
        <d v="2018-10-14T00:00:00"/>
        <d v="2018-10-15T00:00:00"/>
        <d v="2018-10-16T00:00:00"/>
        <d v="2018-10-18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10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6T00:00:00"/>
        <d v="2018-01-17T00:00:00"/>
        <d v="2018-01-18T00:00:00"/>
        <d v="2018-01-19T00:00:00"/>
        <d v="2018-01-20T00:00:00"/>
        <d v="2018-01-21T00:00:00"/>
        <d v="2018-01-22T00:00:00"/>
        <d v="2018-01-23T00:00:00"/>
        <d v="2018-01-24T00:00:00"/>
        <d v="2018-01-25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sharedItems>
      <fieldGroup par="13"/>
    </cacheField>
    <cacheField name="CustomerName" numFmtId="0">
      <sharedItems count="336">
        <s v="Bharat"/>
        <s v="Vrinda"/>
        <s v="Jahan"/>
        <s v="Divsha"/>
        <s v="Kasheen"/>
        <s v="Hazel"/>
        <s v="Sonakshi"/>
        <s v="Aarushi"/>
        <s v="Jitesh"/>
        <s v="Yogesh"/>
        <s v="Anita"/>
        <s v="Shrichand"/>
        <s v="Mohan"/>
        <s v="Vandana"/>
        <s v="Bhavna"/>
        <s v="Kanak"/>
        <s v="Sagar"/>
        <s v="Manju"/>
        <s v="Ramesh"/>
        <s v="Sarita"/>
        <s v="Deepak"/>
        <s v="Monisha"/>
        <s v="Atharv"/>
        <s v="Vini"/>
        <s v="Pinky"/>
        <s v="Bhishm"/>
        <s v="Hitika"/>
        <s v="Pooja"/>
        <s v="Hemant"/>
        <s v="Sahil"/>
        <s v="Ritu"/>
        <s v="Manish"/>
        <s v="Amit"/>
        <s v="Sanjay"/>
        <s v="Nidhi"/>
        <s v="Nishi"/>
        <s v="Ashmi"/>
        <s v="Parth"/>
        <s v="Lisha"/>
        <s v="Paridhi"/>
        <s v="Parishi"/>
        <s v="Ajay"/>
        <s v="Kirti"/>
        <s v="Mayank"/>
        <s v="Yaanvi"/>
        <s v="Sonal"/>
        <s v="Sharda"/>
        <s v="Aditya"/>
        <s v="Rachna"/>
        <s v="Chirag"/>
        <s v="Anurag"/>
        <s v="Tushina"/>
        <s v="Farah"/>
        <s v="Sabah"/>
        <s v="Nida"/>
        <s v="Priyanka"/>
        <s v="Tulika"/>
        <s v="Shefali"/>
        <s v="Sanskriti"/>
        <s v="Shruti"/>
        <s v="Subhashree"/>
        <s v="Sweta"/>
        <s v="Pournamasi"/>
        <s v="Pratyusmita"/>
        <s v="Chayanika"/>
        <s v="Tanvi"/>
        <s v="Anjali"/>
        <s v="Rhea"/>
        <s v="Piyali"/>
        <s v="Charika"/>
        <s v="Mitali"/>
        <s v="Akanksha"/>
        <s v="Arsheen"/>
        <s v="Mahima"/>
        <s v="Shreya"/>
        <s v="Chandni"/>
        <s v="Ekta"/>
        <s v="Bathina"/>
        <s v="Avni"/>
        <s v="Aayushi"/>
        <s v="Bhawna"/>
        <s v="Krutika"/>
        <s v="Samiksha"/>
        <s v="Sheetal"/>
        <s v="Sanjna"/>
        <s v="Swetha"/>
        <s v="Bhaggyasree"/>
        <s v="Gunjan"/>
        <s v="Akancha"/>
        <s v="Rashmi"/>
        <s v="Parna"/>
        <s v="Subhasmita"/>
        <s v="Suhani"/>
        <s v="Noopur"/>
        <s v="Vijay"/>
        <s v="Amisha"/>
        <s v="Kritika"/>
        <s v="Shubhi"/>
        <s v="Maithilee"/>
        <s v="Shaily"/>
        <s v="Riya"/>
        <s v="Shweta"/>
        <s v="Swetlana"/>
        <s v="Shivani"/>
        <s v="Kishwar"/>
        <s v="Aakanksha"/>
        <s v="Megha"/>
        <s v="Sakshi"/>
        <s v="Adhvaita"/>
        <s v="Raksha"/>
        <s v="Stuti"/>
        <s v="Srishti"/>
        <s v="Surabhi"/>
        <s v="Manshul"/>
        <s v="Namrata"/>
        <s v="Anchal"/>
        <s v="Inderpreet"/>
        <s v="Wale"/>
        <s v="Anisha"/>
        <s v="Kiran"/>
        <s v="Turumella"/>
        <s v="Ameesha"/>
        <s v="Madhulika"/>
        <s v="Rishabh"/>
        <s v="Akash"/>
        <s v="Anubhaw"/>
        <s v="Dhirajendu"/>
        <s v="Pranav"/>
        <s v="Arindam"/>
        <s v="Akshat"/>
        <s v="Shubham"/>
        <s v="Ayush"/>
        <s v="Daksh"/>
        <s v="Rane"/>
        <s v="Navdeep"/>
        <s v="Ashwin"/>
        <s v="Aman"/>
        <s v="Devendra"/>
        <s v="Kartik"/>
        <s v="Shivam"/>
        <s v="Harsh"/>
        <s v="Nitant"/>
        <s v="Priyanshu"/>
        <s v="Nishant"/>
        <s v="Vaibhav"/>
        <s v="Akshay"/>
        <s v="Shourya"/>
        <s v="Vishakha"/>
        <s v="Soumya"/>
        <s v="Madhav"/>
        <s v="Anudeep"/>
        <s v="Noshiba"/>
        <s v="Sanjova"/>
        <s v="Meghana"/>
        <s v="Ashmeet"/>
        <s v="Shreyoshe"/>
        <s v="Surbhi"/>
        <s v="Vaibhavi"/>
        <s v="Sanjana"/>
        <s v="Snehal"/>
        <s v="Duhita"/>
        <s v="Mousam"/>
        <s v="Aditi"/>
        <s v="Savi"/>
        <s v="Teena"/>
        <s v="Rutuja"/>
        <s v="Shivangi"/>
        <s v="Rohit"/>
        <s v="Madan Mohan"/>
        <s v="Asish"/>
        <s v="Dinesh"/>
        <s v="Sajal"/>
        <s v="Avish"/>
        <s v="Abhishek"/>
        <s v="Siddharth"/>
        <s v="Sukant"/>
        <s v="Sukrith"/>
        <s v="Sauptik"/>
        <s v="Shishu"/>
        <s v="Divyansh"/>
        <s v="Ishit"/>
        <s v="Aryan"/>
        <s v="Yash"/>
        <s v="Shivanshu"/>
        <s v="Sudheer"/>
        <s v="Ankit"/>
        <s v="Dhanraj"/>
        <s v="Vipul"/>
        <s v="Apsingekar"/>
        <s v="Suman"/>
        <s v="Nripraj"/>
        <s v="Utsav"/>
        <s v="Kshitij"/>
        <s v="Hrisheekesh"/>
        <s v="Swapnil"/>
        <s v="Mane"/>
        <s v="Praneet"/>
        <s v="Sandeep"/>
        <s v="Ankur"/>
        <s v="Dheeraj"/>
        <s v="Tejas"/>
        <s v="Rohan"/>
        <s v="Shyam"/>
        <s v="Tanushree"/>
        <s v="Nikita"/>
        <s v="Apoorva"/>
        <s v="Aastha"/>
        <s v="Harshita"/>
        <s v="Krishna"/>
        <s v="Ananya"/>
        <s v="Moumita"/>
        <s v="Arti"/>
        <s v="Palak"/>
        <s v="Pranjali"/>
        <s v="Sneha"/>
        <s v="Ashvini"/>
        <s v="Mrunal"/>
        <s v="Swati"/>
        <s v="Snel"/>
        <s v="Soodesh"/>
        <s v="Aniket"/>
        <s v="K"/>
        <s v="Kushal"/>
        <s v="Soumyabrata"/>
        <s v="Gaurav"/>
        <s v="Abhijeet"/>
        <s v="Anand"/>
        <s v="Uudhav"/>
        <s v="Chikku"/>
        <s v="Aayush"/>
        <s v="Amol"/>
        <s v="Manibalan"/>
        <s v="Aromal"/>
        <s v="Arun"/>
        <s v="Komal"/>
        <s v="Vikash"/>
        <s v="Parakh"/>
        <s v="Gunjal"/>
        <s v="Saurabh"/>
        <s v="Divyeta"/>
        <s v="Divyeshkumar"/>
        <s v="Bhosale"/>
        <s v="Dashyam"/>
        <s v="Mrinal"/>
        <s v="Apoorv"/>
        <s v="Lalita"/>
        <s v="Masurkar"/>
        <s v="Saptadeep"/>
        <s v="Sumeet"/>
        <s v="Shatayu"/>
        <s v="Brijesh"/>
        <s v="Divyansha"/>
        <s v="Monu"/>
        <s v="Sathya"/>
        <s v="Aishwarya"/>
        <s v="Suraj"/>
        <s v="Ishpreet"/>
        <s v="Amlan"/>
        <s v="Bhargav"/>
        <s v="Abhijit"/>
        <s v="Jaydeep"/>
        <s v="Pradeep"/>
        <s v="Sujay"/>
        <s v="Jay"/>
        <s v="Phalguni"/>
        <s v="Preksha"/>
        <s v="Geetanjali"/>
        <s v="Kajal"/>
        <s v="Sukruta"/>
        <s v="Utkarsh"/>
        <s v="Karandeep"/>
        <s v="Neha"/>
        <s v="Jayanti"/>
        <s v="Sandra"/>
        <s v="Akshata"/>
        <s v="Gopal"/>
        <s v="Prajakta"/>
        <s v="Dipali"/>
        <s v="Smriti"/>
        <s v="Girase"/>
        <s v="Monica"/>
        <s v="Sidharth"/>
        <s v="Bhutekar"/>
        <s v="Shikhar"/>
        <s v="Rahul"/>
        <s v="Sudhir"/>
        <s v="Nikhil"/>
        <s v="Vineet"/>
        <s v="Vivek"/>
        <s v="Jaideep"/>
        <s v="Shardul"/>
        <s v="Syed"/>
        <s v="Mhatre"/>
        <s v="Chetan"/>
        <s v="Mukund"/>
        <s v="Shantanu"/>
        <s v="Jesal"/>
        <s v="Trupti"/>
        <s v="Shiva"/>
        <s v="Aparajita"/>
        <s v="Muskan"/>
        <s v="Tejeswini"/>
        <s v="Pratiksha"/>
        <s v="Oshin"/>
        <s v="Saloni"/>
        <s v="Sudevi"/>
        <s v="Paromita"/>
        <s v="Shreyshi"/>
        <s v="Jesslyn"/>
        <s v="Manisha"/>
        <s v="Piyam"/>
        <s v="Parin"/>
        <s v="Amruta"/>
        <s v="Hemangi"/>
        <s v="Atul"/>
        <s v="Ginny"/>
        <s v="Manjiri"/>
        <s v="Nirja"/>
        <s v="Mugdha"/>
        <s v="Mansi"/>
        <s v="Omkar"/>
        <s v="Yohann"/>
        <s v="Prashant"/>
        <s v="Anmol"/>
        <s v="Diwakar"/>
        <s v="Patil"/>
        <s v="Hitesh"/>
        <s v="Nandita"/>
        <s v="Parnavi"/>
        <s v="Arpita"/>
        <s v="Kalyani"/>
        <s v="Kartikay"/>
        <s v="Pearl"/>
        <s v="Mukesh"/>
        <s v="Harivansh"/>
        <s v="Ankita"/>
      </sharedItems>
    </cacheField>
    <cacheField name="State" numFmtId="0">
      <sharedItems count="19">
        <s v="Gujarat"/>
        <s v="Maharashtra"/>
        <s v="Madhya Pradesh"/>
        <s v="Rajasthan"/>
        <s v="West Bengal"/>
        <s v="Karnataka"/>
        <s v="Jammu and Kashmir"/>
        <s v="Tamil Nadu"/>
        <s v="Uttar Pradesh"/>
        <s v="Bihar"/>
        <s v="Kerala "/>
        <s v="Punjab"/>
        <s v="Haryana"/>
        <s v="Himachal Pradesh"/>
        <s v="Sikkim"/>
        <s v="Goa"/>
        <s v="Nagaland"/>
        <s v="Andhra Pradesh"/>
        <s v="Delhi"/>
      </sharedItems>
    </cacheField>
    <cacheField name="City" numFmtId="0">
      <sharedItems count="25">
        <s v="Ahmedabad"/>
        <s v="Pune"/>
        <s v="Bhopal"/>
        <s v="Jaipur"/>
        <s v="Kolkata"/>
        <s v="Bangalore"/>
        <s v="Kashmir"/>
        <s v="Chennai"/>
        <s v="Lucknow"/>
        <s v="Patna"/>
        <s v="Thiruvananthapuram"/>
        <s v="Chandigarh"/>
        <s v="Simla"/>
        <s v="Gangtok"/>
        <s v="Goa"/>
        <s v="Kohima"/>
        <s v="Hyderabad"/>
        <s v="Mumbai"/>
        <s v="Indore"/>
        <s v="Mathura"/>
        <s v="Surat"/>
        <s v="Udaipur"/>
        <s v="Prayagraj"/>
        <s v="Amritsar"/>
        <s v="Delhi"/>
      </sharedItems>
    </cacheField>
    <cacheField name="Amount" numFmtId="0">
      <sharedItems containsSemiMixedTypes="0" containsString="0" containsNumber="1" containsInteger="1" minValue="6" maxValue="5729"/>
    </cacheField>
    <cacheField name="Profit" numFmtId="0">
      <sharedItems containsSemiMixedTypes="0" containsString="0" containsNumber="1" containsInteger="1" minValue="-916" maxValue="1864"/>
    </cacheField>
    <cacheField name="Quantity" numFmtId="0">
      <sharedItems containsSemiMixedTypes="0" containsString="0" containsNumber="1" containsInteger="1" minValue="1" maxValue="14"/>
    </cacheField>
    <cacheField name="Category" numFmtId="0">
      <sharedItems count="3">
        <s v="Electronics"/>
        <s v="Clothing"/>
        <s v="Furniture"/>
      </sharedItems>
    </cacheField>
    <cacheField name="Sub-Category" numFmtId="0">
      <sharedItems count="17">
        <s v="Electronic Games"/>
        <s v="Phones"/>
        <s v="Hankerchief"/>
        <s v="T-shirt"/>
        <s v="Saree"/>
        <s v="Shirt"/>
        <s v="Leggings"/>
        <s v="Tables"/>
        <s v="Chairs"/>
        <s v="Printers"/>
        <s v="Stole"/>
        <s v="Furnishings"/>
        <s v="Trousers"/>
        <s v="Bookcases"/>
        <s v="Accessories"/>
        <s v="Skirt"/>
        <s v="Kurti"/>
      </sharedItems>
    </cacheField>
    <cacheField name="Payment Mode" numFmtId="0">
      <sharedItems count="5">
        <s v="UPI"/>
        <s v="Credit Card"/>
        <s v="COD"/>
        <s v="EMI"/>
        <s v="Debit Card"/>
      </sharedItems>
    </cacheField>
    <cacheField name="AOV" numFmtId="0">
      <sharedItems containsSemiMixedTypes="0" containsString="0" containsNumber="1" minValue="2.75" maxValue="872.5"/>
    </cacheField>
    <cacheField name="Months (Order Date)" numFmtId="0" databaseField="0">
      <fieldGroup base="1">
        <rangePr groupBy="months" startDate="2018-01-01T00:00:00" endDate="2019-01-01T00:00:00"/>
        <groupItems count="14">
          <s v="&lt;01/01/2018"/>
          <s v="Jan"/>
          <s v="Feb"/>
          <s v="Mar"/>
          <s v="Apr"/>
          <s v="May"/>
          <s v="Jun"/>
          <s v="Jul"/>
          <s v="Aug"/>
          <s v="Sep"/>
          <s v="Oct"/>
          <s v="Nov"/>
          <s v="Dec"/>
          <s v="&gt;01/01/2019"/>
        </groupItems>
      </fieldGroup>
    </cacheField>
    <cacheField name="Quarters (Order Date)" numFmtId="0" databaseField="0">
      <fieldGroup base="1">
        <rangePr groupBy="quarters" startDate="2018-01-01T00:00:00" endDate="2019-01-01T00:00:00"/>
        <groupItems count="6">
          <s v="&lt;01/01/2018"/>
          <s v="Qtr1"/>
          <s v="Qtr2"/>
          <s v="Qtr3"/>
          <s v="Qtr4"/>
          <s v="&gt;01/01/2019"/>
        </groupItems>
      </fieldGroup>
    </cacheField>
    <cacheField name="PositiveProfit" numFmtId="0" formula="IF(Profit&gt; 0,Profit, 0)" databaseField="0"/>
    <cacheField name="NegativeProfit" numFmtId="0" formula="IF(Profit&lt; 0,Profit, 0)" databaseField="0"/>
  </cacheFields>
  <extLst>
    <ext xmlns:x14="http://schemas.microsoft.com/office/spreadsheetml/2009/9/main" uri="{725AE2AE-9491-48be-B2B4-4EB974FC3084}">
      <x14:pivotCacheDefinition pivotCacheId="7145679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B-25601"/>
    <x v="0"/>
    <x v="0"/>
    <x v="0"/>
    <x v="0"/>
    <n v="80"/>
    <n v="-56"/>
    <n v="4"/>
    <x v="0"/>
    <x v="0"/>
    <x v="0"/>
    <n v="20"/>
  </r>
  <r>
    <s v="B-25602"/>
    <x v="0"/>
    <x v="1"/>
    <x v="1"/>
    <x v="1"/>
    <n v="2617"/>
    <n v="1151"/>
    <n v="4"/>
    <x v="0"/>
    <x v="1"/>
    <x v="1"/>
    <n v="654.25"/>
  </r>
  <r>
    <s v="B-25603"/>
    <x v="1"/>
    <x v="2"/>
    <x v="2"/>
    <x v="2"/>
    <n v="12"/>
    <n v="1"/>
    <n v="2"/>
    <x v="1"/>
    <x v="2"/>
    <x v="2"/>
    <n v="6"/>
  </r>
  <r>
    <s v="B-25604"/>
    <x v="1"/>
    <x v="3"/>
    <x v="3"/>
    <x v="3"/>
    <n v="65"/>
    <n v="17"/>
    <n v="2"/>
    <x v="1"/>
    <x v="3"/>
    <x v="0"/>
    <n v="32.5"/>
  </r>
  <r>
    <s v="B-25605"/>
    <x v="2"/>
    <x v="4"/>
    <x v="4"/>
    <x v="4"/>
    <n v="75"/>
    <n v="0"/>
    <n v="7"/>
    <x v="1"/>
    <x v="4"/>
    <x v="3"/>
    <n v="10.714285714285714"/>
  </r>
  <r>
    <s v="B-25606"/>
    <x v="3"/>
    <x v="5"/>
    <x v="5"/>
    <x v="5"/>
    <n v="87"/>
    <n v="4"/>
    <n v="2"/>
    <x v="1"/>
    <x v="5"/>
    <x v="2"/>
    <n v="43.5"/>
  </r>
  <r>
    <s v="B-25607"/>
    <x v="3"/>
    <x v="6"/>
    <x v="6"/>
    <x v="6"/>
    <n v="50"/>
    <n v="-15"/>
    <n v="4"/>
    <x v="1"/>
    <x v="6"/>
    <x v="2"/>
    <n v="12.5"/>
  </r>
  <r>
    <s v="B-25608"/>
    <x v="4"/>
    <x v="7"/>
    <x v="7"/>
    <x v="7"/>
    <n v="1364"/>
    <n v="1864"/>
    <n v="5"/>
    <x v="2"/>
    <x v="7"/>
    <x v="1"/>
    <n v="272.8"/>
  </r>
  <r>
    <s v="B-25609"/>
    <x v="5"/>
    <x v="8"/>
    <x v="8"/>
    <x v="8"/>
    <n v="485"/>
    <n v="29"/>
    <n v="4"/>
    <x v="0"/>
    <x v="0"/>
    <x v="2"/>
    <n v="121.25"/>
  </r>
  <r>
    <s v="B-25610"/>
    <x v="5"/>
    <x v="9"/>
    <x v="9"/>
    <x v="9"/>
    <n v="43"/>
    <n v="0"/>
    <n v="3"/>
    <x v="1"/>
    <x v="4"/>
    <x v="4"/>
    <n v="14.333333333333334"/>
  </r>
  <r>
    <s v="B-25611"/>
    <x v="6"/>
    <x v="10"/>
    <x v="10"/>
    <x v="10"/>
    <n v="160"/>
    <n v="-59"/>
    <n v="2"/>
    <x v="1"/>
    <x v="4"/>
    <x v="3"/>
    <n v="80"/>
  </r>
  <r>
    <s v="B-25612"/>
    <x v="7"/>
    <x v="11"/>
    <x v="11"/>
    <x v="11"/>
    <n v="259"/>
    <n v="-55"/>
    <n v="2"/>
    <x v="2"/>
    <x v="8"/>
    <x v="2"/>
    <n v="129.5"/>
  </r>
  <r>
    <s v="B-25613"/>
    <x v="7"/>
    <x v="12"/>
    <x v="12"/>
    <x v="11"/>
    <n v="1603"/>
    <n v="0"/>
    <n v="9"/>
    <x v="1"/>
    <x v="4"/>
    <x v="1"/>
    <n v="178.11111111111111"/>
  </r>
  <r>
    <s v="B-25614"/>
    <x v="8"/>
    <x v="13"/>
    <x v="13"/>
    <x v="12"/>
    <n v="98"/>
    <n v="-12"/>
    <n v="2"/>
    <x v="0"/>
    <x v="0"/>
    <x v="1"/>
    <n v="49"/>
  </r>
  <r>
    <s v="B-25615"/>
    <x v="9"/>
    <x v="14"/>
    <x v="14"/>
    <x v="13"/>
    <n v="68"/>
    <n v="20"/>
    <n v="5"/>
    <x v="1"/>
    <x v="2"/>
    <x v="4"/>
    <n v="13.6"/>
  </r>
  <r>
    <s v="B-25616"/>
    <x v="9"/>
    <x v="15"/>
    <x v="15"/>
    <x v="14"/>
    <n v="14"/>
    <n v="-2"/>
    <n v="3"/>
    <x v="1"/>
    <x v="2"/>
    <x v="0"/>
    <n v="4.666666666666667"/>
  </r>
  <r>
    <s v="B-25617"/>
    <x v="10"/>
    <x v="16"/>
    <x v="16"/>
    <x v="15"/>
    <n v="305"/>
    <n v="-270"/>
    <n v="5"/>
    <x v="0"/>
    <x v="0"/>
    <x v="4"/>
    <n v="61"/>
  </r>
  <r>
    <s v="B-25618"/>
    <x v="11"/>
    <x v="17"/>
    <x v="17"/>
    <x v="16"/>
    <n v="12"/>
    <n v="0"/>
    <n v="2"/>
    <x v="1"/>
    <x v="2"/>
    <x v="0"/>
    <n v="6"/>
  </r>
  <r>
    <s v="B-25619"/>
    <x v="11"/>
    <x v="18"/>
    <x v="0"/>
    <x v="0"/>
    <n v="353"/>
    <n v="90"/>
    <n v="8"/>
    <x v="1"/>
    <x v="4"/>
    <x v="2"/>
    <n v="44.125"/>
  </r>
  <r>
    <s v="B-25620"/>
    <x v="12"/>
    <x v="19"/>
    <x v="1"/>
    <x v="1"/>
    <n v="193"/>
    <n v="46"/>
    <n v="1"/>
    <x v="0"/>
    <x v="9"/>
    <x v="1"/>
    <n v="193"/>
  </r>
  <r>
    <s v="B-25621"/>
    <x v="12"/>
    <x v="20"/>
    <x v="2"/>
    <x v="2"/>
    <n v="333"/>
    <n v="-15"/>
    <n v="3"/>
    <x v="0"/>
    <x v="1"/>
    <x v="2"/>
    <n v="111"/>
  </r>
  <r>
    <s v="B-25622"/>
    <x v="13"/>
    <x v="21"/>
    <x v="3"/>
    <x v="3"/>
    <n v="534"/>
    <n v="0"/>
    <n v="3"/>
    <x v="1"/>
    <x v="4"/>
    <x v="4"/>
    <n v="178"/>
  </r>
  <r>
    <s v="B-25623"/>
    <x v="13"/>
    <x v="22"/>
    <x v="4"/>
    <x v="4"/>
    <n v="149"/>
    <n v="-87"/>
    <n v="4"/>
    <x v="1"/>
    <x v="4"/>
    <x v="2"/>
    <n v="37.25"/>
  </r>
  <r>
    <s v="B-25624"/>
    <x v="13"/>
    <x v="23"/>
    <x v="5"/>
    <x v="5"/>
    <n v="26"/>
    <n v="12"/>
    <n v="3"/>
    <x v="1"/>
    <x v="2"/>
    <x v="2"/>
    <n v="8.6666666666666661"/>
  </r>
  <r>
    <s v="B-25625"/>
    <x v="14"/>
    <x v="24"/>
    <x v="6"/>
    <x v="6"/>
    <n v="59"/>
    <n v="-30"/>
    <n v="3"/>
    <x v="1"/>
    <x v="6"/>
    <x v="4"/>
    <n v="19.666666666666668"/>
  </r>
  <r>
    <s v="B-25626"/>
    <x v="14"/>
    <x v="25"/>
    <x v="1"/>
    <x v="17"/>
    <n v="46"/>
    <n v="-14"/>
    <n v="1"/>
    <x v="0"/>
    <x v="1"/>
    <x v="2"/>
    <n v="46"/>
  </r>
  <r>
    <s v="B-25627"/>
    <x v="14"/>
    <x v="26"/>
    <x v="2"/>
    <x v="18"/>
    <n v="55"/>
    <n v="-39"/>
    <n v="4"/>
    <x v="1"/>
    <x v="10"/>
    <x v="2"/>
    <n v="13.75"/>
  </r>
  <r>
    <s v="B-25628"/>
    <x v="15"/>
    <x v="27"/>
    <x v="9"/>
    <x v="9"/>
    <n v="35"/>
    <n v="-8"/>
    <n v="2"/>
    <x v="2"/>
    <x v="11"/>
    <x v="4"/>
    <n v="17.5"/>
  </r>
  <r>
    <s v="B-25629"/>
    <x v="15"/>
    <x v="28"/>
    <x v="10"/>
    <x v="10"/>
    <n v="1560"/>
    <n v="421"/>
    <n v="3"/>
    <x v="1"/>
    <x v="12"/>
    <x v="2"/>
    <n v="520"/>
  </r>
  <r>
    <s v="B-25630"/>
    <x v="15"/>
    <x v="29"/>
    <x v="11"/>
    <x v="11"/>
    <n v="34"/>
    <n v="-22"/>
    <n v="4"/>
    <x v="1"/>
    <x v="3"/>
    <x v="2"/>
    <n v="8.5"/>
  </r>
  <r>
    <s v="B-25631"/>
    <x v="15"/>
    <x v="30"/>
    <x v="12"/>
    <x v="11"/>
    <n v="89"/>
    <n v="-89"/>
    <n v="2"/>
    <x v="2"/>
    <x v="11"/>
    <x v="2"/>
    <n v="44.5"/>
  </r>
  <r>
    <s v="B-25632"/>
    <x v="16"/>
    <x v="31"/>
    <x v="13"/>
    <x v="12"/>
    <n v="19"/>
    <n v="-2"/>
    <n v="2"/>
    <x v="1"/>
    <x v="6"/>
    <x v="4"/>
    <n v="9.5"/>
  </r>
  <r>
    <s v="B-25633"/>
    <x v="17"/>
    <x v="32"/>
    <x v="14"/>
    <x v="13"/>
    <n v="496"/>
    <n v="-79"/>
    <n v="2"/>
    <x v="1"/>
    <x v="12"/>
    <x v="2"/>
    <n v="248"/>
  </r>
  <r>
    <s v="B-25634"/>
    <x v="17"/>
    <x v="33"/>
    <x v="15"/>
    <x v="14"/>
    <n v="389"/>
    <n v="-83"/>
    <n v="3"/>
    <x v="2"/>
    <x v="8"/>
    <x v="0"/>
    <n v="129.66666666666666"/>
  </r>
  <r>
    <s v="B-25635"/>
    <x v="17"/>
    <x v="34"/>
    <x v="16"/>
    <x v="15"/>
    <n v="40"/>
    <n v="16"/>
    <n v="3"/>
    <x v="1"/>
    <x v="2"/>
    <x v="4"/>
    <n v="13.333333333333334"/>
  </r>
  <r>
    <s v="B-25636"/>
    <x v="17"/>
    <x v="35"/>
    <x v="1"/>
    <x v="17"/>
    <n v="637"/>
    <n v="113"/>
    <n v="5"/>
    <x v="1"/>
    <x v="4"/>
    <x v="0"/>
    <n v="127.4"/>
  </r>
  <r>
    <s v="B-25637"/>
    <x v="17"/>
    <x v="36"/>
    <x v="2"/>
    <x v="18"/>
    <n v="117"/>
    <n v="14"/>
    <n v="3"/>
    <x v="1"/>
    <x v="5"/>
    <x v="0"/>
    <n v="39"/>
  </r>
  <r>
    <s v="B-25638"/>
    <x v="17"/>
    <x v="37"/>
    <x v="1"/>
    <x v="1"/>
    <n v="182"/>
    <n v="-11"/>
    <n v="3"/>
    <x v="2"/>
    <x v="13"/>
    <x v="1"/>
    <n v="60.666666666666664"/>
  </r>
  <r>
    <s v="B-25639"/>
    <x v="18"/>
    <x v="38"/>
    <x v="2"/>
    <x v="2"/>
    <n v="1629"/>
    <n v="-153"/>
    <n v="3"/>
    <x v="0"/>
    <x v="1"/>
    <x v="2"/>
    <n v="543"/>
  </r>
  <r>
    <s v="B-25640"/>
    <x v="18"/>
    <x v="39"/>
    <x v="3"/>
    <x v="3"/>
    <n v="1499"/>
    <n v="239"/>
    <n v="13"/>
    <x v="1"/>
    <x v="4"/>
    <x v="1"/>
    <n v="115.30769230769231"/>
  </r>
  <r>
    <s v="B-25641"/>
    <x v="18"/>
    <x v="40"/>
    <x v="4"/>
    <x v="4"/>
    <n v="22"/>
    <n v="-6"/>
    <n v="1"/>
    <x v="2"/>
    <x v="11"/>
    <x v="2"/>
    <n v="22"/>
  </r>
  <r>
    <s v="B-25642"/>
    <x v="19"/>
    <x v="41"/>
    <x v="5"/>
    <x v="5"/>
    <n v="434"/>
    <n v="26"/>
    <n v="11"/>
    <x v="1"/>
    <x v="5"/>
    <x v="1"/>
    <n v="39.454545454545453"/>
  </r>
  <r>
    <s v="B-25643"/>
    <x v="20"/>
    <x v="42"/>
    <x v="6"/>
    <x v="6"/>
    <n v="50"/>
    <n v="-44"/>
    <n v="2"/>
    <x v="1"/>
    <x v="2"/>
    <x v="0"/>
    <n v="25"/>
  </r>
  <r>
    <s v="B-25644"/>
    <x v="21"/>
    <x v="43"/>
    <x v="1"/>
    <x v="17"/>
    <n v="76"/>
    <n v="-92"/>
    <n v="8"/>
    <x v="2"/>
    <x v="11"/>
    <x v="2"/>
    <n v="9.5"/>
  </r>
  <r>
    <s v="B-25645"/>
    <x v="22"/>
    <x v="44"/>
    <x v="2"/>
    <x v="18"/>
    <n v="273"/>
    <n v="-87"/>
    <n v="4"/>
    <x v="0"/>
    <x v="1"/>
    <x v="2"/>
    <n v="68.25"/>
  </r>
  <r>
    <s v="B-25646"/>
    <x v="22"/>
    <x v="45"/>
    <x v="9"/>
    <x v="9"/>
    <n v="299"/>
    <n v="-8"/>
    <n v="2"/>
    <x v="1"/>
    <x v="4"/>
    <x v="2"/>
    <n v="149.5"/>
  </r>
  <r>
    <s v="B-25647"/>
    <x v="23"/>
    <x v="46"/>
    <x v="10"/>
    <x v="10"/>
    <n v="42"/>
    <n v="-6"/>
    <n v="4"/>
    <x v="1"/>
    <x v="4"/>
    <x v="0"/>
    <n v="10.5"/>
  </r>
  <r>
    <s v="B-25648"/>
    <x v="24"/>
    <x v="47"/>
    <x v="11"/>
    <x v="11"/>
    <n v="30"/>
    <n v="13"/>
    <n v="1"/>
    <x v="1"/>
    <x v="3"/>
    <x v="0"/>
    <n v="30"/>
  </r>
  <r>
    <s v="B-25649"/>
    <x v="25"/>
    <x v="48"/>
    <x v="12"/>
    <x v="11"/>
    <n v="27"/>
    <n v="-25"/>
    <n v="2"/>
    <x v="1"/>
    <x v="10"/>
    <x v="2"/>
    <n v="13.5"/>
  </r>
  <r>
    <s v="B-25650"/>
    <x v="26"/>
    <x v="49"/>
    <x v="1"/>
    <x v="17"/>
    <n v="512"/>
    <n v="-225"/>
    <n v="5"/>
    <x v="1"/>
    <x v="4"/>
    <x v="2"/>
    <n v="102.4"/>
  </r>
  <r>
    <s v="B-25651"/>
    <x v="27"/>
    <x v="50"/>
    <x v="2"/>
    <x v="18"/>
    <n v="823"/>
    <n v="-18"/>
    <n v="7"/>
    <x v="2"/>
    <x v="8"/>
    <x v="2"/>
    <n v="117.57142857142857"/>
  </r>
  <r>
    <s v="B-25652"/>
    <x v="28"/>
    <x v="51"/>
    <x v="15"/>
    <x v="14"/>
    <n v="206"/>
    <n v="-206"/>
    <n v="3"/>
    <x v="1"/>
    <x v="4"/>
    <x v="2"/>
    <n v="68.666666666666671"/>
  </r>
  <r>
    <s v="B-25653"/>
    <x v="28"/>
    <x v="52"/>
    <x v="16"/>
    <x v="15"/>
    <n v="1279"/>
    <n v="-640"/>
    <n v="8"/>
    <x v="0"/>
    <x v="9"/>
    <x v="3"/>
    <n v="159.875"/>
  </r>
  <r>
    <s v="B-25654"/>
    <x v="29"/>
    <x v="53"/>
    <x v="1"/>
    <x v="17"/>
    <n v="450"/>
    <n v="-90"/>
    <n v="3"/>
    <x v="0"/>
    <x v="9"/>
    <x v="2"/>
    <n v="150"/>
  </r>
  <r>
    <s v="B-25655"/>
    <x v="30"/>
    <x v="54"/>
    <x v="2"/>
    <x v="18"/>
    <n v="6"/>
    <n v="-3"/>
    <n v="1"/>
    <x v="1"/>
    <x v="2"/>
    <x v="0"/>
    <n v="6"/>
  </r>
  <r>
    <s v="B-25656"/>
    <x v="30"/>
    <x v="55"/>
    <x v="1"/>
    <x v="1"/>
    <n v="24"/>
    <n v="-1"/>
    <n v="2"/>
    <x v="1"/>
    <x v="2"/>
    <x v="2"/>
    <n v="12"/>
  </r>
  <r>
    <s v="B-25657"/>
    <x v="31"/>
    <x v="56"/>
    <x v="2"/>
    <x v="2"/>
    <n v="1021"/>
    <n v="-48"/>
    <n v="4"/>
    <x v="0"/>
    <x v="0"/>
    <x v="3"/>
    <n v="255.25"/>
  </r>
  <r>
    <s v="B-25658"/>
    <x v="32"/>
    <x v="57"/>
    <x v="3"/>
    <x v="3"/>
    <n v="27"/>
    <n v="9"/>
    <n v="2"/>
    <x v="1"/>
    <x v="3"/>
    <x v="0"/>
    <n v="13.5"/>
  </r>
  <r>
    <s v="B-25659"/>
    <x v="33"/>
    <x v="58"/>
    <x v="4"/>
    <x v="4"/>
    <n v="148"/>
    <n v="72"/>
    <n v="7"/>
    <x v="1"/>
    <x v="3"/>
    <x v="4"/>
    <n v="21.142857142857142"/>
  </r>
  <r>
    <s v="B-25660"/>
    <x v="34"/>
    <x v="59"/>
    <x v="5"/>
    <x v="5"/>
    <n v="245"/>
    <n v="-78"/>
    <n v="3"/>
    <x v="1"/>
    <x v="4"/>
    <x v="2"/>
    <n v="81.666666666666671"/>
  </r>
  <r>
    <s v="B-25661"/>
    <x v="35"/>
    <x v="60"/>
    <x v="6"/>
    <x v="6"/>
    <n v="55"/>
    <n v="-33"/>
    <n v="2"/>
    <x v="2"/>
    <x v="8"/>
    <x v="4"/>
    <n v="27.5"/>
  </r>
  <r>
    <s v="B-25662"/>
    <x v="35"/>
    <x v="61"/>
    <x v="1"/>
    <x v="17"/>
    <n v="24"/>
    <n v="-2"/>
    <n v="2"/>
    <x v="1"/>
    <x v="3"/>
    <x v="2"/>
    <n v="12"/>
  </r>
  <r>
    <s v="B-25663"/>
    <x v="36"/>
    <x v="62"/>
    <x v="2"/>
    <x v="18"/>
    <n v="294"/>
    <n v="138"/>
    <n v="2"/>
    <x v="0"/>
    <x v="9"/>
    <x v="4"/>
    <n v="147"/>
  </r>
  <r>
    <s v="B-25664"/>
    <x v="37"/>
    <x v="63"/>
    <x v="9"/>
    <x v="9"/>
    <n v="444"/>
    <n v="-200"/>
    <n v="4"/>
    <x v="0"/>
    <x v="1"/>
    <x v="3"/>
    <n v="111"/>
  </r>
  <r>
    <s v="B-25665"/>
    <x v="38"/>
    <x v="64"/>
    <x v="10"/>
    <x v="10"/>
    <n v="166"/>
    <n v="-113"/>
    <n v="4"/>
    <x v="0"/>
    <x v="14"/>
    <x v="3"/>
    <n v="41.5"/>
  </r>
  <r>
    <s v="B-25666"/>
    <x v="39"/>
    <x v="65"/>
    <x v="11"/>
    <x v="11"/>
    <n v="934"/>
    <n v="-916"/>
    <n v="7"/>
    <x v="0"/>
    <x v="0"/>
    <x v="2"/>
    <n v="133.42857142857142"/>
  </r>
  <r>
    <s v="B-25667"/>
    <x v="40"/>
    <x v="66"/>
    <x v="12"/>
    <x v="11"/>
    <n v="11"/>
    <n v="-2"/>
    <n v="4"/>
    <x v="1"/>
    <x v="2"/>
    <x v="2"/>
    <n v="2.75"/>
  </r>
  <r>
    <s v="B-25668"/>
    <x v="41"/>
    <x v="67"/>
    <x v="13"/>
    <x v="12"/>
    <n v="123"/>
    <n v="17"/>
    <n v="3"/>
    <x v="2"/>
    <x v="11"/>
    <x v="2"/>
    <n v="41"/>
  </r>
  <r>
    <s v="B-25669"/>
    <x v="42"/>
    <x v="68"/>
    <x v="14"/>
    <x v="13"/>
    <n v="610"/>
    <n v="-66"/>
    <n v="2"/>
    <x v="2"/>
    <x v="7"/>
    <x v="2"/>
    <n v="305"/>
  </r>
  <r>
    <s v="B-25670"/>
    <x v="42"/>
    <x v="69"/>
    <x v="15"/>
    <x v="14"/>
    <n v="24"/>
    <n v="1"/>
    <n v="2"/>
    <x v="1"/>
    <x v="2"/>
    <x v="0"/>
    <n v="12"/>
  </r>
  <r>
    <s v="B-25671"/>
    <x v="43"/>
    <x v="70"/>
    <x v="16"/>
    <x v="15"/>
    <n v="832"/>
    <n v="0"/>
    <n v="3"/>
    <x v="1"/>
    <x v="12"/>
    <x v="0"/>
    <n v="277.33333333333331"/>
  </r>
  <r>
    <s v="B-25672"/>
    <x v="44"/>
    <x v="71"/>
    <x v="17"/>
    <x v="16"/>
    <n v="27"/>
    <n v="-15"/>
    <n v="1"/>
    <x v="1"/>
    <x v="10"/>
    <x v="0"/>
    <n v="27"/>
  </r>
  <r>
    <s v="B-25673"/>
    <x v="44"/>
    <x v="72"/>
    <x v="0"/>
    <x v="0"/>
    <n v="143"/>
    <n v="-124"/>
    <n v="5"/>
    <x v="1"/>
    <x v="4"/>
    <x v="0"/>
    <n v="28.6"/>
  </r>
  <r>
    <s v="B-25674"/>
    <x v="44"/>
    <x v="73"/>
    <x v="1"/>
    <x v="1"/>
    <n v="17"/>
    <n v="-12"/>
    <n v="5"/>
    <x v="1"/>
    <x v="15"/>
    <x v="4"/>
    <n v="3.4"/>
  </r>
  <r>
    <s v="B-25675"/>
    <x v="45"/>
    <x v="74"/>
    <x v="2"/>
    <x v="2"/>
    <n v="929"/>
    <n v="-93"/>
    <n v="9"/>
    <x v="1"/>
    <x v="4"/>
    <x v="2"/>
    <n v="103.22222222222223"/>
  </r>
  <r>
    <s v="B-25676"/>
    <x v="46"/>
    <x v="75"/>
    <x v="3"/>
    <x v="3"/>
    <n v="674"/>
    <n v="-187"/>
    <n v="2"/>
    <x v="2"/>
    <x v="7"/>
    <x v="2"/>
    <n v="337"/>
  </r>
  <r>
    <s v="B-25677"/>
    <x v="47"/>
    <x v="76"/>
    <x v="4"/>
    <x v="4"/>
    <n v="20"/>
    <n v="-2"/>
    <n v="1"/>
    <x v="0"/>
    <x v="14"/>
    <x v="0"/>
    <n v="20"/>
  </r>
  <r>
    <s v="B-25678"/>
    <x v="48"/>
    <x v="77"/>
    <x v="5"/>
    <x v="5"/>
    <n v="27"/>
    <n v="-25"/>
    <n v="2"/>
    <x v="1"/>
    <x v="5"/>
    <x v="4"/>
    <n v="13.5"/>
  </r>
  <r>
    <s v="B-25679"/>
    <x v="49"/>
    <x v="78"/>
    <x v="1"/>
    <x v="17"/>
    <n v="76"/>
    <n v="-50"/>
    <n v="1"/>
    <x v="1"/>
    <x v="4"/>
    <x v="2"/>
    <n v="76"/>
  </r>
  <r>
    <s v="B-25680"/>
    <x v="49"/>
    <x v="79"/>
    <x v="2"/>
    <x v="18"/>
    <n v="73"/>
    <n v="-25"/>
    <n v="3"/>
    <x v="1"/>
    <x v="4"/>
    <x v="2"/>
    <n v="24.333333333333332"/>
  </r>
  <r>
    <s v="B-25681"/>
    <x v="49"/>
    <x v="80"/>
    <x v="2"/>
    <x v="18"/>
    <n v="1096"/>
    <n v="658"/>
    <n v="7"/>
    <x v="0"/>
    <x v="0"/>
    <x v="2"/>
    <n v="156.57142857142858"/>
  </r>
  <r>
    <s v="B-25682"/>
    <x v="50"/>
    <x v="81"/>
    <x v="9"/>
    <x v="9"/>
    <n v="545"/>
    <n v="-73"/>
    <n v="11"/>
    <x v="0"/>
    <x v="1"/>
    <x v="2"/>
    <n v="49.545454545454547"/>
  </r>
  <r>
    <s v="B-25683"/>
    <x v="51"/>
    <x v="74"/>
    <x v="10"/>
    <x v="10"/>
    <n v="86"/>
    <n v="-55"/>
    <n v="6"/>
    <x v="1"/>
    <x v="4"/>
    <x v="2"/>
    <n v="14.333333333333334"/>
  </r>
  <r>
    <s v="B-25684"/>
    <x v="52"/>
    <x v="82"/>
    <x v="1"/>
    <x v="17"/>
    <n v="134"/>
    <n v="42"/>
    <n v="2"/>
    <x v="2"/>
    <x v="8"/>
    <x v="2"/>
    <n v="67"/>
  </r>
  <r>
    <s v="B-25685"/>
    <x v="53"/>
    <x v="83"/>
    <x v="2"/>
    <x v="18"/>
    <n v="264"/>
    <n v="-30"/>
    <n v="3"/>
    <x v="2"/>
    <x v="11"/>
    <x v="4"/>
    <n v="88"/>
  </r>
  <r>
    <s v="B-25686"/>
    <x v="54"/>
    <x v="27"/>
    <x v="13"/>
    <x v="12"/>
    <n v="1829"/>
    <n v="-56"/>
    <n v="6"/>
    <x v="2"/>
    <x v="7"/>
    <x v="1"/>
    <n v="304.83333333333331"/>
  </r>
  <r>
    <s v="B-25687"/>
    <x v="54"/>
    <x v="84"/>
    <x v="1"/>
    <x v="17"/>
    <n v="387"/>
    <n v="-213"/>
    <n v="5"/>
    <x v="1"/>
    <x v="4"/>
    <x v="0"/>
    <n v="77.400000000000006"/>
  </r>
  <r>
    <s v="B-25688"/>
    <x v="54"/>
    <x v="85"/>
    <x v="2"/>
    <x v="18"/>
    <n v="352"/>
    <n v="-345"/>
    <n v="5"/>
    <x v="1"/>
    <x v="4"/>
    <x v="1"/>
    <n v="70.400000000000006"/>
  </r>
  <r>
    <s v="B-25689"/>
    <x v="55"/>
    <x v="86"/>
    <x v="1"/>
    <x v="17"/>
    <n v="469"/>
    <n v="-459"/>
    <n v="3"/>
    <x v="0"/>
    <x v="0"/>
    <x v="2"/>
    <n v="156.33333333333334"/>
  </r>
  <r>
    <s v="B-25690"/>
    <x v="56"/>
    <x v="87"/>
    <x v="2"/>
    <x v="18"/>
    <n v="31"/>
    <n v="-10"/>
    <n v="3"/>
    <x v="1"/>
    <x v="15"/>
    <x v="2"/>
    <n v="10.333333333333334"/>
  </r>
  <r>
    <s v="B-25691"/>
    <x v="57"/>
    <x v="88"/>
    <x v="1"/>
    <x v="17"/>
    <n v="714"/>
    <n v="56"/>
    <n v="4"/>
    <x v="1"/>
    <x v="4"/>
    <x v="2"/>
    <n v="178.5"/>
  </r>
  <r>
    <s v="B-25692"/>
    <x v="58"/>
    <x v="89"/>
    <x v="2"/>
    <x v="18"/>
    <n v="141"/>
    <n v="28"/>
    <n v="7"/>
    <x v="2"/>
    <x v="11"/>
    <x v="0"/>
    <n v="20.142857142857142"/>
  </r>
  <r>
    <s v="B-25693"/>
    <x v="59"/>
    <x v="90"/>
    <x v="2"/>
    <x v="2"/>
    <n v="76"/>
    <n v="-72"/>
    <n v="9"/>
    <x v="1"/>
    <x v="2"/>
    <x v="2"/>
    <n v="8.4444444444444446"/>
  </r>
  <r>
    <s v="B-25694"/>
    <x v="59"/>
    <x v="91"/>
    <x v="3"/>
    <x v="3"/>
    <n v="167"/>
    <n v="43"/>
    <n v="7"/>
    <x v="1"/>
    <x v="3"/>
    <x v="3"/>
    <n v="23.857142857142858"/>
  </r>
  <r>
    <s v="B-25695"/>
    <x v="59"/>
    <x v="92"/>
    <x v="4"/>
    <x v="4"/>
    <n v="171"/>
    <n v="14"/>
    <n v="9"/>
    <x v="1"/>
    <x v="5"/>
    <x v="4"/>
    <n v="19"/>
  </r>
  <r>
    <s v="B-25696"/>
    <x v="60"/>
    <x v="93"/>
    <x v="5"/>
    <x v="5"/>
    <n v="275"/>
    <n v="-275"/>
    <n v="4"/>
    <x v="1"/>
    <x v="4"/>
    <x v="2"/>
    <n v="68.75"/>
  </r>
  <r>
    <s v="B-25697"/>
    <x v="61"/>
    <x v="94"/>
    <x v="6"/>
    <x v="6"/>
    <n v="1300"/>
    <n v="-16"/>
    <n v="8"/>
    <x v="0"/>
    <x v="9"/>
    <x v="1"/>
    <n v="162.5"/>
  </r>
  <r>
    <s v="B-25698"/>
    <x v="62"/>
    <x v="95"/>
    <x v="7"/>
    <x v="7"/>
    <n v="516"/>
    <n v="392"/>
    <n v="8"/>
    <x v="2"/>
    <x v="8"/>
    <x v="2"/>
    <n v="64.5"/>
  </r>
  <r>
    <s v="B-25699"/>
    <x v="63"/>
    <x v="96"/>
    <x v="8"/>
    <x v="8"/>
    <n v="49"/>
    <n v="-31"/>
    <n v="2"/>
    <x v="1"/>
    <x v="10"/>
    <x v="0"/>
    <n v="24.5"/>
  </r>
  <r>
    <s v="B-25700"/>
    <x v="64"/>
    <x v="97"/>
    <x v="1"/>
    <x v="17"/>
    <n v="44"/>
    <n v="-32"/>
    <n v="3"/>
    <x v="1"/>
    <x v="10"/>
    <x v="4"/>
    <n v="14.666666666666666"/>
  </r>
  <r>
    <s v="B-25701"/>
    <x v="65"/>
    <x v="98"/>
    <x v="2"/>
    <x v="18"/>
    <n v="98"/>
    <n v="-45"/>
    <n v="2"/>
    <x v="2"/>
    <x v="8"/>
    <x v="0"/>
    <n v="49"/>
  </r>
  <r>
    <s v="B-25702"/>
    <x v="66"/>
    <x v="99"/>
    <x v="1"/>
    <x v="17"/>
    <n v="75"/>
    <n v="0"/>
    <n v="3"/>
    <x v="1"/>
    <x v="5"/>
    <x v="3"/>
    <n v="25"/>
  </r>
  <r>
    <s v="B-25703"/>
    <x v="67"/>
    <x v="76"/>
    <x v="2"/>
    <x v="18"/>
    <n v="231"/>
    <n v="-190"/>
    <n v="9"/>
    <x v="1"/>
    <x v="2"/>
    <x v="2"/>
    <n v="25.666666666666668"/>
  </r>
  <r>
    <s v="B-25704"/>
    <x v="68"/>
    <x v="100"/>
    <x v="1"/>
    <x v="17"/>
    <n v="126"/>
    <n v="-63"/>
    <n v="3"/>
    <x v="0"/>
    <x v="14"/>
    <x v="0"/>
    <n v="42"/>
  </r>
  <r>
    <s v="B-25705"/>
    <x v="69"/>
    <x v="101"/>
    <x v="2"/>
    <x v="18"/>
    <n v="46"/>
    <n v="0"/>
    <n v="2"/>
    <x v="0"/>
    <x v="0"/>
    <x v="2"/>
    <n v="23"/>
  </r>
  <r>
    <s v="B-25706"/>
    <x v="70"/>
    <x v="102"/>
    <x v="15"/>
    <x v="14"/>
    <n v="31"/>
    <n v="-11"/>
    <n v="4"/>
    <x v="1"/>
    <x v="10"/>
    <x v="2"/>
    <n v="7.75"/>
  </r>
  <r>
    <s v="B-25707"/>
    <x v="70"/>
    <x v="103"/>
    <x v="1"/>
    <x v="17"/>
    <n v="8"/>
    <n v="-6"/>
    <n v="1"/>
    <x v="1"/>
    <x v="10"/>
    <x v="2"/>
    <n v="8"/>
  </r>
  <r>
    <s v="B-25708"/>
    <x v="70"/>
    <x v="104"/>
    <x v="2"/>
    <x v="18"/>
    <n v="709"/>
    <n v="-100"/>
    <n v="5"/>
    <x v="0"/>
    <x v="1"/>
    <x v="2"/>
    <n v="141.80000000000001"/>
  </r>
  <r>
    <s v="B-25709"/>
    <x v="70"/>
    <x v="105"/>
    <x v="2"/>
    <x v="18"/>
    <n v="33"/>
    <n v="-12"/>
    <n v="7"/>
    <x v="1"/>
    <x v="4"/>
    <x v="0"/>
    <n v="4.7142857142857144"/>
  </r>
  <r>
    <s v="B-25710"/>
    <x v="71"/>
    <x v="106"/>
    <x v="1"/>
    <x v="1"/>
    <n v="10"/>
    <n v="-1"/>
    <n v="1"/>
    <x v="1"/>
    <x v="6"/>
    <x v="0"/>
    <n v="10"/>
  </r>
  <r>
    <s v="B-25711"/>
    <x v="72"/>
    <x v="107"/>
    <x v="2"/>
    <x v="2"/>
    <n v="100"/>
    <n v="-58"/>
    <n v="4"/>
    <x v="1"/>
    <x v="2"/>
    <x v="2"/>
    <n v="25"/>
  </r>
  <r>
    <s v="B-25712"/>
    <x v="73"/>
    <x v="108"/>
    <x v="3"/>
    <x v="3"/>
    <n v="193"/>
    <n v="-275"/>
    <n v="3"/>
    <x v="0"/>
    <x v="1"/>
    <x v="1"/>
    <n v="64.333333333333329"/>
  </r>
  <r>
    <s v="B-25713"/>
    <x v="74"/>
    <x v="109"/>
    <x v="4"/>
    <x v="4"/>
    <n v="158"/>
    <n v="-63"/>
    <n v="4"/>
    <x v="2"/>
    <x v="8"/>
    <x v="0"/>
    <n v="39.5"/>
  </r>
  <r>
    <s v="B-25714"/>
    <x v="75"/>
    <x v="110"/>
    <x v="5"/>
    <x v="5"/>
    <n v="11"/>
    <n v="-5"/>
    <n v="2"/>
    <x v="1"/>
    <x v="2"/>
    <x v="2"/>
    <n v="5.5"/>
  </r>
  <r>
    <s v="B-25715"/>
    <x v="76"/>
    <x v="111"/>
    <x v="6"/>
    <x v="6"/>
    <n v="416"/>
    <n v="137"/>
    <n v="3"/>
    <x v="0"/>
    <x v="1"/>
    <x v="4"/>
    <n v="138.66666666666666"/>
  </r>
  <r>
    <s v="B-25716"/>
    <x v="77"/>
    <x v="112"/>
    <x v="7"/>
    <x v="7"/>
    <n v="58"/>
    <n v="0"/>
    <n v="4"/>
    <x v="1"/>
    <x v="4"/>
    <x v="0"/>
    <n v="14.5"/>
  </r>
  <r>
    <s v="B-25717"/>
    <x v="78"/>
    <x v="113"/>
    <x v="8"/>
    <x v="8"/>
    <n v="561"/>
    <n v="212"/>
    <n v="3"/>
    <x v="1"/>
    <x v="4"/>
    <x v="1"/>
    <n v="187"/>
  </r>
  <r>
    <s v="B-25718"/>
    <x v="78"/>
    <x v="66"/>
    <x v="1"/>
    <x v="17"/>
    <n v="371"/>
    <n v="115"/>
    <n v="1"/>
    <x v="2"/>
    <x v="13"/>
    <x v="4"/>
    <n v="371"/>
  </r>
  <r>
    <s v="B-25719"/>
    <x v="78"/>
    <x v="89"/>
    <x v="2"/>
    <x v="18"/>
    <n v="29"/>
    <n v="10"/>
    <n v="2"/>
    <x v="1"/>
    <x v="10"/>
    <x v="2"/>
    <n v="14.5"/>
  </r>
  <r>
    <s v="B-25720"/>
    <x v="79"/>
    <x v="114"/>
    <x v="11"/>
    <x v="11"/>
    <n v="30"/>
    <n v="-35"/>
    <n v="1"/>
    <x v="2"/>
    <x v="8"/>
    <x v="2"/>
    <n v="30"/>
  </r>
  <r>
    <s v="B-25721"/>
    <x v="80"/>
    <x v="115"/>
    <x v="12"/>
    <x v="11"/>
    <n v="149"/>
    <n v="-40"/>
    <n v="2"/>
    <x v="0"/>
    <x v="1"/>
    <x v="2"/>
    <n v="74.5"/>
  </r>
  <r>
    <s v="B-25722"/>
    <x v="81"/>
    <x v="116"/>
    <x v="13"/>
    <x v="12"/>
    <n v="48"/>
    <n v="-8"/>
    <n v="8"/>
    <x v="1"/>
    <x v="10"/>
    <x v="2"/>
    <n v="6"/>
  </r>
  <r>
    <s v="B-25723"/>
    <x v="82"/>
    <x v="117"/>
    <x v="1"/>
    <x v="17"/>
    <n v="12"/>
    <n v="-7"/>
    <n v="2"/>
    <x v="1"/>
    <x v="6"/>
    <x v="0"/>
    <n v="6"/>
  </r>
  <r>
    <s v="B-25724"/>
    <x v="83"/>
    <x v="83"/>
    <x v="2"/>
    <x v="18"/>
    <n v="168"/>
    <n v="-51"/>
    <n v="2"/>
    <x v="2"/>
    <x v="13"/>
    <x v="2"/>
    <n v="84"/>
  </r>
  <r>
    <s v="B-25725"/>
    <x v="84"/>
    <x v="118"/>
    <x v="16"/>
    <x v="15"/>
    <n v="144"/>
    <n v="-7"/>
    <n v="4"/>
    <x v="0"/>
    <x v="0"/>
    <x v="2"/>
    <n v="36"/>
  </r>
  <r>
    <s v="B-25726"/>
    <x v="85"/>
    <x v="119"/>
    <x v="1"/>
    <x v="17"/>
    <n v="490"/>
    <n v="-128"/>
    <n v="8"/>
    <x v="2"/>
    <x v="13"/>
    <x v="0"/>
    <n v="61.25"/>
  </r>
  <r>
    <s v="B-25727"/>
    <x v="86"/>
    <x v="120"/>
    <x v="2"/>
    <x v="18"/>
    <n v="327"/>
    <n v="114"/>
    <n v="4"/>
    <x v="1"/>
    <x v="12"/>
    <x v="2"/>
    <n v="81.75"/>
  </r>
  <r>
    <s v="B-25728"/>
    <x v="86"/>
    <x v="121"/>
    <x v="1"/>
    <x v="1"/>
    <n v="1055"/>
    <n v="264"/>
    <n v="4"/>
    <x v="0"/>
    <x v="9"/>
    <x v="3"/>
    <n v="263.75"/>
  </r>
  <r>
    <s v="B-25729"/>
    <x v="86"/>
    <x v="122"/>
    <x v="2"/>
    <x v="2"/>
    <n v="1549"/>
    <n v="-439"/>
    <n v="4"/>
    <x v="0"/>
    <x v="1"/>
    <x v="1"/>
    <n v="387.25"/>
  </r>
  <r>
    <s v="B-25730"/>
    <x v="86"/>
    <x v="123"/>
    <x v="3"/>
    <x v="3"/>
    <n v="1145"/>
    <n v="-706"/>
    <n v="3"/>
    <x v="0"/>
    <x v="1"/>
    <x v="1"/>
    <n v="381.66666666666669"/>
  </r>
  <r>
    <s v="B-25731"/>
    <x v="87"/>
    <x v="124"/>
    <x v="4"/>
    <x v="4"/>
    <n v="131"/>
    <n v="-154"/>
    <n v="8"/>
    <x v="2"/>
    <x v="11"/>
    <x v="2"/>
    <n v="16.375"/>
  </r>
  <r>
    <s v="B-25732"/>
    <x v="88"/>
    <x v="125"/>
    <x v="5"/>
    <x v="5"/>
    <n v="16"/>
    <n v="-5"/>
    <n v="2"/>
    <x v="1"/>
    <x v="10"/>
    <x v="0"/>
    <n v="8"/>
  </r>
  <r>
    <s v="B-25733"/>
    <x v="89"/>
    <x v="126"/>
    <x v="1"/>
    <x v="17"/>
    <n v="43"/>
    <n v="-43"/>
    <n v="7"/>
    <x v="1"/>
    <x v="10"/>
    <x v="4"/>
    <n v="6.1428571428571432"/>
  </r>
  <r>
    <s v="B-25734"/>
    <x v="90"/>
    <x v="127"/>
    <x v="2"/>
    <x v="18"/>
    <n v="108"/>
    <n v="-19"/>
    <n v="3"/>
    <x v="0"/>
    <x v="0"/>
    <x v="0"/>
    <n v="36"/>
  </r>
  <r>
    <s v="B-25735"/>
    <x v="91"/>
    <x v="128"/>
    <x v="8"/>
    <x v="8"/>
    <n v="7"/>
    <n v="-1"/>
    <n v="2"/>
    <x v="1"/>
    <x v="15"/>
    <x v="0"/>
    <n v="3.5"/>
  </r>
  <r>
    <s v="B-25736"/>
    <x v="92"/>
    <x v="129"/>
    <x v="1"/>
    <x v="17"/>
    <n v="31"/>
    <n v="-7"/>
    <n v="5"/>
    <x v="1"/>
    <x v="15"/>
    <x v="0"/>
    <n v="6.2"/>
  </r>
  <r>
    <s v="B-25737"/>
    <x v="93"/>
    <x v="130"/>
    <x v="2"/>
    <x v="18"/>
    <n v="187"/>
    <n v="-15"/>
    <n v="3"/>
    <x v="1"/>
    <x v="12"/>
    <x v="2"/>
    <n v="62.333333333333336"/>
  </r>
  <r>
    <s v="B-25738"/>
    <x v="94"/>
    <x v="131"/>
    <x v="11"/>
    <x v="11"/>
    <n v="70"/>
    <n v="-14"/>
    <n v="2"/>
    <x v="2"/>
    <x v="11"/>
    <x v="0"/>
    <n v="35"/>
  </r>
  <r>
    <s v="B-25739"/>
    <x v="95"/>
    <x v="132"/>
    <x v="12"/>
    <x v="11"/>
    <n v="133"/>
    <n v="-56"/>
    <n v="2"/>
    <x v="2"/>
    <x v="8"/>
    <x v="2"/>
    <n v="66.5"/>
  </r>
  <r>
    <s v="B-25740"/>
    <x v="95"/>
    <x v="133"/>
    <x v="1"/>
    <x v="17"/>
    <n v="58"/>
    <n v="-8"/>
    <n v="2"/>
    <x v="1"/>
    <x v="4"/>
    <x v="2"/>
    <n v="29"/>
  </r>
  <r>
    <s v="B-25741"/>
    <x v="95"/>
    <x v="134"/>
    <x v="2"/>
    <x v="18"/>
    <n v="482"/>
    <n v="-6"/>
    <n v="7"/>
    <x v="0"/>
    <x v="0"/>
    <x v="3"/>
    <n v="68.857142857142861"/>
  </r>
  <r>
    <s v="B-25742"/>
    <x v="95"/>
    <x v="135"/>
    <x v="15"/>
    <x v="14"/>
    <n v="11"/>
    <n v="-8"/>
    <n v="2"/>
    <x v="1"/>
    <x v="15"/>
    <x v="0"/>
    <n v="5.5"/>
  </r>
  <r>
    <s v="B-25743"/>
    <x v="96"/>
    <x v="136"/>
    <x v="16"/>
    <x v="15"/>
    <n v="503"/>
    <n v="-56"/>
    <n v="2"/>
    <x v="1"/>
    <x v="12"/>
    <x v="2"/>
    <n v="251.5"/>
  </r>
  <r>
    <s v="B-25744"/>
    <x v="97"/>
    <x v="137"/>
    <x v="17"/>
    <x v="16"/>
    <n v="373"/>
    <n v="254"/>
    <n v="6"/>
    <x v="0"/>
    <x v="9"/>
    <x v="0"/>
    <n v="62.166666666666664"/>
  </r>
  <r>
    <s v="B-25745"/>
    <x v="98"/>
    <x v="138"/>
    <x v="0"/>
    <x v="0"/>
    <n v="296"/>
    <n v="225"/>
    <n v="11"/>
    <x v="1"/>
    <x v="4"/>
    <x v="2"/>
    <n v="26.90909090909091"/>
  </r>
  <r>
    <s v="B-25746"/>
    <x v="99"/>
    <x v="139"/>
    <x v="1"/>
    <x v="1"/>
    <n v="87"/>
    <n v="16"/>
    <n v="2"/>
    <x v="1"/>
    <x v="4"/>
    <x v="0"/>
    <n v="43.5"/>
  </r>
  <r>
    <s v="B-25747"/>
    <x v="100"/>
    <x v="140"/>
    <x v="2"/>
    <x v="2"/>
    <n v="877"/>
    <n v="395"/>
    <n v="2"/>
    <x v="2"/>
    <x v="13"/>
    <x v="1"/>
    <n v="438.5"/>
  </r>
  <r>
    <s v="B-25748"/>
    <x v="101"/>
    <x v="141"/>
    <x v="3"/>
    <x v="3"/>
    <n v="47"/>
    <n v="-21"/>
    <n v="2"/>
    <x v="0"/>
    <x v="0"/>
    <x v="2"/>
    <n v="23.5"/>
  </r>
  <r>
    <s v="B-25749"/>
    <x v="102"/>
    <x v="131"/>
    <x v="1"/>
    <x v="17"/>
    <n v="1052"/>
    <n v="-82"/>
    <n v="3"/>
    <x v="2"/>
    <x v="13"/>
    <x v="0"/>
    <n v="350.66666666666669"/>
  </r>
  <r>
    <s v="B-25750"/>
    <x v="103"/>
    <x v="142"/>
    <x v="2"/>
    <x v="18"/>
    <n v="19"/>
    <n v="-1"/>
    <n v="1"/>
    <x v="1"/>
    <x v="5"/>
    <x v="4"/>
    <n v="19"/>
  </r>
  <r>
    <s v="B-25751"/>
    <x v="103"/>
    <x v="143"/>
    <x v="1"/>
    <x v="17"/>
    <n v="32"/>
    <n v="7"/>
    <n v="3"/>
    <x v="1"/>
    <x v="2"/>
    <x v="2"/>
    <n v="10.666666666666666"/>
  </r>
  <r>
    <s v="B-25752"/>
    <x v="103"/>
    <x v="144"/>
    <x v="2"/>
    <x v="18"/>
    <n v="761"/>
    <n v="266"/>
    <n v="9"/>
    <x v="0"/>
    <x v="0"/>
    <x v="2"/>
    <n v="84.555555555555557"/>
  </r>
  <r>
    <s v="B-25753"/>
    <x v="104"/>
    <x v="139"/>
    <x v="8"/>
    <x v="8"/>
    <n v="341"/>
    <n v="-85"/>
    <n v="6"/>
    <x v="1"/>
    <x v="12"/>
    <x v="1"/>
    <n v="56.833333333333336"/>
  </r>
  <r>
    <s v="B-25754"/>
    <x v="105"/>
    <x v="145"/>
    <x v="9"/>
    <x v="9"/>
    <n v="9"/>
    <n v="-1"/>
    <n v="3"/>
    <x v="1"/>
    <x v="15"/>
    <x v="0"/>
    <n v="3"/>
  </r>
  <r>
    <s v="B-25755"/>
    <x v="106"/>
    <x v="146"/>
    <x v="10"/>
    <x v="10"/>
    <n v="1709"/>
    <n v="564"/>
    <n v="3"/>
    <x v="1"/>
    <x v="12"/>
    <x v="1"/>
    <n v="569.66666666666663"/>
  </r>
  <r>
    <s v="B-25756"/>
    <x v="107"/>
    <x v="12"/>
    <x v="1"/>
    <x v="17"/>
    <n v="729"/>
    <n v="-492"/>
    <n v="5"/>
    <x v="2"/>
    <x v="13"/>
    <x v="0"/>
    <n v="145.80000000000001"/>
  </r>
  <r>
    <s v="B-25757"/>
    <x v="108"/>
    <x v="147"/>
    <x v="2"/>
    <x v="18"/>
    <n v="17"/>
    <n v="-13"/>
    <n v="4"/>
    <x v="1"/>
    <x v="15"/>
    <x v="4"/>
    <n v="4.25"/>
  </r>
  <r>
    <s v="B-25758"/>
    <x v="109"/>
    <x v="130"/>
    <x v="13"/>
    <x v="12"/>
    <n v="8"/>
    <n v="-2"/>
    <n v="1"/>
    <x v="1"/>
    <x v="10"/>
    <x v="2"/>
    <n v="8"/>
  </r>
  <r>
    <s v="B-25759"/>
    <x v="110"/>
    <x v="148"/>
    <x v="14"/>
    <x v="13"/>
    <n v="20"/>
    <n v="-9"/>
    <n v="6"/>
    <x v="1"/>
    <x v="2"/>
    <x v="4"/>
    <n v="3.3333333333333335"/>
  </r>
  <r>
    <s v="B-25760"/>
    <x v="111"/>
    <x v="27"/>
    <x v="15"/>
    <x v="14"/>
    <n v="322"/>
    <n v="-193"/>
    <n v="5"/>
    <x v="0"/>
    <x v="9"/>
    <x v="0"/>
    <n v="64.400000000000006"/>
  </r>
  <r>
    <s v="B-25761"/>
    <x v="112"/>
    <x v="149"/>
    <x v="8"/>
    <x v="19"/>
    <n v="2188"/>
    <n v="1050"/>
    <n v="5"/>
    <x v="2"/>
    <x v="13"/>
    <x v="1"/>
    <n v="437.6"/>
  </r>
  <r>
    <s v="B-25762"/>
    <x v="113"/>
    <x v="150"/>
    <x v="2"/>
    <x v="18"/>
    <n v="1316"/>
    <n v="527"/>
    <n v="7"/>
    <x v="0"/>
    <x v="0"/>
    <x v="1"/>
    <n v="188"/>
  </r>
  <r>
    <s v="B-25763"/>
    <x v="114"/>
    <x v="151"/>
    <x v="0"/>
    <x v="0"/>
    <n v="58"/>
    <n v="-52"/>
    <n v="3"/>
    <x v="2"/>
    <x v="8"/>
    <x v="2"/>
    <n v="19.333333333333332"/>
  </r>
  <r>
    <s v="B-25764"/>
    <x v="115"/>
    <x v="152"/>
    <x v="1"/>
    <x v="1"/>
    <n v="26"/>
    <n v="0"/>
    <n v="2"/>
    <x v="1"/>
    <x v="16"/>
    <x v="2"/>
    <n v="13"/>
  </r>
  <r>
    <s v="B-25765"/>
    <x v="116"/>
    <x v="153"/>
    <x v="2"/>
    <x v="2"/>
    <n v="139"/>
    <n v="14"/>
    <n v="3"/>
    <x v="1"/>
    <x v="10"/>
    <x v="2"/>
    <n v="46.333333333333336"/>
  </r>
  <r>
    <s v="B-25766"/>
    <x v="117"/>
    <x v="112"/>
    <x v="3"/>
    <x v="3"/>
    <n v="220"/>
    <n v="-19"/>
    <n v="2"/>
    <x v="1"/>
    <x v="4"/>
    <x v="4"/>
    <n v="110"/>
  </r>
  <r>
    <s v="B-25767"/>
    <x v="118"/>
    <x v="154"/>
    <x v="4"/>
    <x v="4"/>
    <n v="299"/>
    <n v="-28"/>
    <n v="3"/>
    <x v="0"/>
    <x v="0"/>
    <x v="0"/>
    <n v="99.666666666666671"/>
  </r>
  <r>
    <s v="B-25768"/>
    <x v="119"/>
    <x v="155"/>
    <x v="5"/>
    <x v="5"/>
    <n v="1582"/>
    <n v="-443"/>
    <n v="6"/>
    <x v="1"/>
    <x v="12"/>
    <x v="3"/>
    <n v="263.66666666666669"/>
  </r>
  <r>
    <s v="B-25769"/>
    <x v="120"/>
    <x v="156"/>
    <x v="1"/>
    <x v="17"/>
    <n v="355"/>
    <n v="-4"/>
    <n v="2"/>
    <x v="1"/>
    <x v="4"/>
    <x v="4"/>
    <n v="177.5"/>
  </r>
  <r>
    <s v="B-25770"/>
    <x v="120"/>
    <x v="107"/>
    <x v="2"/>
    <x v="18"/>
    <n v="299"/>
    <n v="113"/>
    <n v="2"/>
    <x v="2"/>
    <x v="13"/>
    <x v="2"/>
    <n v="149.5"/>
  </r>
  <r>
    <s v="B-25771"/>
    <x v="120"/>
    <x v="157"/>
    <x v="8"/>
    <x v="8"/>
    <n v="148"/>
    <n v="59"/>
    <n v="3"/>
    <x v="1"/>
    <x v="2"/>
    <x v="2"/>
    <n v="49.333333333333336"/>
  </r>
  <r>
    <s v="B-25772"/>
    <x v="120"/>
    <x v="158"/>
    <x v="9"/>
    <x v="9"/>
    <n v="1183"/>
    <n v="106"/>
    <n v="4"/>
    <x v="0"/>
    <x v="9"/>
    <x v="3"/>
    <n v="295.75"/>
  </r>
  <r>
    <s v="B-25773"/>
    <x v="121"/>
    <x v="74"/>
    <x v="10"/>
    <x v="10"/>
    <n v="224"/>
    <n v="-143"/>
    <n v="3"/>
    <x v="2"/>
    <x v="8"/>
    <x v="2"/>
    <n v="74.666666666666671"/>
  </r>
  <r>
    <s v="B-25774"/>
    <x v="122"/>
    <x v="159"/>
    <x v="11"/>
    <x v="11"/>
    <n v="38"/>
    <n v="-6"/>
    <n v="2"/>
    <x v="2"/>
    <x v="11"/>
    <x v="0"/>
    <n v="19"/>
  </r>
  <r>
    <s v="B-25775"/>
    <x v="123"/>
    <x v="160"/>
    <x v="12"/>
    <x v="11"/>
    <n v="50"/>
    <n v="-17"/>
    <n v="2"/>
    <x v="1"/>
    <x v="10"/>
    <x v="2"/>
    <n v="25"/>
  </r>
  <r>
    <s v="B-25776"/>
    <x v="124"/>
    <x v="161"/>
    <x v="1"/>
    <x v="17"/>
    <n v="47"/>
    <n v="-20"/>
    <n v="2"/>
    <x v="1"/>
    <x v="16"/>
    <x v="4"/>
    <n v="23.5"/>
  </r>
  <r>
    <s v="B-25777"/>
    <x v="125"/>
    <x v="162"/>
    <x v="2"/>
    <x v="18"/>
    <n v="1076"/>
    <n v="-38"/>
    <n v="4"/>
    <x v="0"/>
    <x v="9"/>
    <x v="1"/>
    <n v="269"/>
  </r>
  <r>
    <s v="B-25778"/>
    <x v="126"/>
    <x v="112"/>
    <x v="1"/>
    <x v="17"/>
    <n v="1506"/>
    <n v="-266"/>
    <n v="6"/>
    <x v="0"/>
    <x v="9"/>
    <x v="1"/>
    <n v="251"/>
  </r>
  <r>
    <s v="B-25779"/>
    <x v="127"/>
    <x v="163"/>
    <x v="1"/>
    <x v="1"/>
    <n v="1361"/>
    <n v="980"/>
    <n v="3"/>
    <x v="2"/>
    <x v="7"/>
    <x v="2"/>
    <n v="453.66666666666669"/>
  </r>
  <r>
    <s v="B-25780"/>
    <x v="128"/>
    <x v="164"/>
    <x v="17"/>
    <x v="16"/>
    <n v="137"/>
    <n v="-41"/>
    <n v="3"/>
    <x v="0"/>
    <x v="1"/>
    <x v="4"/>
    <n v="45.666666666666664"/>
  </r>
  <r>
    <s v="B-25781"/>
    <x v="129"/>
    <x v="165"/>
    <x v="0"/>
    <x v="0"/>
    <n v="45"/>
    <n v="-28"/>
    <n v="2"/>
    <x v="1"/>
    <x v="10"/>
    <x v="4"/>
    <n v="22.5"/>
  </r>
  <r>
    <s v="B-25782"/>
    <x v="130"/>
    <x v="79"/>
    <x v="1"/>
    <x v="17"/>
    <n v="335"/>
    <n v="-22"/>
    <n v="7"/>
    <x v="2"/>
    <x v="8"/>
    <x v="0"/>
    <n v="47.857142857142854"/>
  </r>
  <r>
    <s v="B-25783"/>
    <x v="130"/>
    <x v="166"/>
    <x v="2"/>
    <x v="18"/>
    <n v="33"/>
    <n v="-10"/>
    <n v="6"/>
    <x v="1"/>
    <x v="6"/>
    <x v="0"/>
    <n v="5.5"/>
  </r>
  <r>
    <s v="B-25784"/>
    <x v="130"/>
    <x v="167"/>
    <x v="3"/>
    <x v="3"/>
    <n v="15"/>
    <n v="4"/>
    <n v="1"/>
    <x v="1"/>
    <x v="2"/>
    <x v="4"/>
    <n v="15"/>
  </r>
  <r>
    <s v="B-25785"/>
    <x v="130"/>
    <x v="131"/>
    <x v="4"/>
    <x v="4"/>
    <n v="595"/>
    <n v="292"/>
    <n v="3"/>
    <x v="1"/>
    <x v="4"/>
    <x v="2"/>
    <n v="198.33333333333334"/>
  </r>
  <r>
    <s v="B-25786"/>
    <x v="131"/>
    <x v="168"/>
    <x v="8"/>
    <x v="19"/>
    <n v="1854"/>
    <n v="433"/>
    <n v="5"/>
    <x v="2"/>
    <x v="13"/>
    <x v="1"/>
    <n v="370.8"/>
  </r>
  <r>
    <s v="B-25787"/>
    <x v="132"/>
    <x v="169"/>
    <x v="6"/>
    <x v="6"/>
    <n v="556"/>
    <n v="-209"/>
    <n v="7"/>
    <x v="1"/>
    <x v="4"/>
    <x v="2"/>
    <n v="79.428571428571431"/>
  </r>
  <r>
    <s v="B-25788"/>
    <x v="133"/>
    <x v="170"/>
    <x v="7"/>
    <x v="7"/>
    <n v="12"/>
    <n v="3"/>
    <n v="1"/>
    <x v="1"/>
    <x v="10"/>
    <x v="0"/>
    <n v="12"/>
  </r>
  <r>
    <s v="B-25789"/>
    <x v="134"/>
    <x v="145"/>
    <x v="8"/>
    <x v="8"/>
    <n v="67"/>
    <n v="-86"/>
    <n v="9"/>
    <x v="2"/>
    <x v="11"/>
    <x v="2"/>
    <n v="7.4444444444444446"/>
  </r>
  <r>
    <s v="B-25790"/>
    <x v="135"/>
    <x v="171"/>
    <x v="9"/>
    <x v="9"/>
    <n v="42"/>
    <n v="-3"/>
    <n v="1"/>
    <x v="0"/>
    <x v="0"/>
    <x v="2"/>
    <n v="42"/>
  </r>
  <r>
    <s v="B-25791"/>
    <x v="136"/>
    <x v="172"/>
    <x v="10"/>
    <x v="10"/>
    <n v="565"/>
    <n v="66"/>
    <n v="7"/>
    <x v="1"/>
    <x v="4"/>
    <x v="1"/>
    <n v="80.714285714285708"/>
  </r>
  <r>
    <s v="B-25792"/>
    <x v="136"/>
    <x v="173"/>
    <x v="1"/>
    <x v="17"/>
    <n v="74"/>
    <n v="-25"/>
    <n v="3"/>
    <x v="1"/>
    <x v="10"/>
    <x v="2"/>
    <n v="24.666666666666668"/>
  </r>
  <r>
    <s v="B-25793"/>
    <x v="136"/>
    <x v="174"/>
    <x v="2"/>
    <x v="18"/>
    <n v="60"/>
    <n v="-12"/>
    <n v="4"/>
    <x v="1"/>
    <x v="2"/>
    <x v="4"/>
    <n v="15"/>
  </r>
  <r>
    <s v="B-25794"/>
    <x v="136"/>
    <x v="47"/>
    <x v="13"/>
    <x v="12"/>
    <n v="176"/>
    <n v="37"/>
    <n v="6"/>
    <x v="0"/>
    <x v="14"/>
    <x v="2"/>
    <n v="29.333333333333332"/>
  </r>
  <r>
    <s v="B-25795"/>
    <x v="136"/>
    <x v="175"/>
    <x v="14"/>
    <x v="13"/>
    <n v="276"/>
    <n v="-21"/>
    <n v="2"/>
    <x v="0"/>
    <x v="1"/>
    <x v="3"/>
    <n v="138"/>
  </r>
  <r>
    <s v="B-25796"/>
    <x v="136"/>
    <x v="176"/>
    <x v="1"/>
    <x v="17"/>
    <n v="632"/>
    <n v="-316"/>
    <n v="6"/>
    <x v="1"/>
    <x v="4"/>
    <x v="2"/>
    <n v="105.33333333333333"/>
  </r>
  <r>
    <s v="B-25797"/>
    <x v="137"/>
    <x v="177"/>
    <x v="2"/>
    <x v="18"/>
    <n v="1630"/>
    <n v="802"/>
    <n v="5"/>
    <x v="2"/>
    <x v="7"/>
    <x v="3"/>
    <n v="326"/>
  </r>
  <r>
    <s v="B-25798"/>
    <x v="138"/>
    <x v="178"/>
    <x v="17"/>
    <x v="16"/>
    <n v="448"/>
    <n v="148"/>
    <n v="2"/>
    <x v="0"/>
    <x v="9"/>
    <x v="2"/>
    <n v="224"/>
  </r>
  <r>
    <s v="B-25799"/>
    <x v="138"/>
    <x v="179"/>
    <x v="0"/>
    <x v="0"/>
    <n v="45"/>
    <n v="-15"/>
    <n v="2"/>
    <x v="2"/>
    <x v="8"/>
    <x v="2"/>
    <n v="22.5"/>
  </r>
  <r>
    <s v="B-25800"/>
    <x v="138"/>
    <x v="180"/>
    <x v="1"/>
    <x v="1"/>
    <n v="45"/>
    <n v="12"/>
    <n v="7"/>
    <x v="1"/>
    <x v="2"/>
    <x v="0"/>
    <n v="6.4285714285714288"/>
  </r>
  <r>
    <s v="B-25801"/>
    <x v="138"/>
    <x v="181"/>
    <x v="2"/>
    <x v="2"/>
    <n v="15"/>
    <n v="-2"/>
    <n v="1"/>
    <x v="1"/>
    <x v="3"/>
    <x v="4"/>
    <n v="15"/>
  </r>
  <r>
    <s v="B-25802"/>
    <x v="139"/>
    <x v="182"/>
    <x v="1"/>
    <x v="17"/>
    <n v="25"/>
    <n v="-7"/>
    <n v="5"/>
    <x v="1"/>
    <x v="4"/>
    <x v="0"/>
    <n v="5"/>
  </r>
  <r>
    <s v="B-25803"/>
    <x v="139"/>
    <x v="183"/>
    <x v="2"/>
    <x v="18"/>
    <n v="765"/>
    <n v="8"/>
    <n v="6"/>
    <x v="1"/>
    <x v="4"/>
    <x v="3"/>
    <n v="127.5"/>
  </r>
  <r>
    <s v="B-25804"/>
    <x v="139"/>
    <x v="184"/>
    <x v="5"/>
    <x v="5"/>
    <n v="156"/>
    <n v="36"/>
    <n v="5"/>
    <x v="1"/>
    <x v="3"/>
    <x v="3"/>
    <n v="31.2"/>
  </r>
  <r>
    <s v="B-25805"/>
    <x v="139"/>
    <x v="185"/>
    <x v="1"/>
    <x v="17"/>
    <n v="112"/>
    <n v="15"/>
    <n v="2"/>
    <x v="2"/>
    <x v="8"/>
    <x v="2"/>
    <n v="56"/>
  </r>
  <r>
    <s v="B-25806"/>
    <x v="140"/>
    <x v="186"/>
    <x v="2"/>
    <x v="18"/>
    <n v="632"/>
    <n v="-114"/>
    <n v="4"/>
    <x v="2"/>
    <x v="7"/>
    <x v="0"/>
    <n v="158"/>
  </r>
  <r>
    <s v="B-25807"/>
    <x v="141"/>
    <x v="187"/>
    <x v="8"/>
    <x v="8"/>
    <n v="16"/>
    <n v="6"/>
    <n v="1"/>
    <x v="1"/>
    <x v="10"/>
    <x v="2"/>
    <n v="16"/>
  </r>
  <r>
    <s v="B-25808"/>
    <x v="142"/>
    <x v="188"/>
    <x v="9"/>
    <x v="9"/>
    <n v="63"/>
    <n v="-17"/>
    <n v="6"/>
    <x v="1"/>
    <x v="6"/>
    <x v="2"/>
    <n v="10.5"/>
  </r>
  <r>
    <s v="B-25809"/>
    <x v="143"/>
    <x v="189"/>
    <x v="10"/>
    <x v="10"/>
    <n v="53"/>
    <n v="24"/>
    <n v="1"/>
    <x v="1"/>
    <x v="2"/>
    <x v="4"/>
    <n v="53"/>
  </r>
  <r>
    <s v="B-25810"/>
    <x v="144"/>
    <x v="190"/>
    <x v="11"/>
    <x v="11"/>
    <n v="1120"/>
    <n v="199"/>
    <n v="6"/>
    <x v="1"/>
    <x v="4"/>
    <x v="3"/>
    <n v="186.66666666666666"/>
  </r>
  <r>
    <s v="B-25811"/>
    <x v="144"/>
    <x v="191"/>
    <x v="1"/>
    <x v="17"/>
    <n v="126"/>
    <n v="52"/>
    <n v="4"/>
    <x v="1"/>
    <x v="2"/>
    <x v="0"/>
    <n v="31.5"/>
  </r>
  <r>
    <s v="B-25812"/>
    <x v="144"/>
    <x v="192"/>
    <x v="2"/>
    <x v="18"/>
    <n v="259"/>
    <n v="47"/>
    <n v="5"/>
    <x v="1"/>
    <x v="2"/>
    <x v="0"/>
    <n v="51.8"/>
  </r>
  <r>
    <s v="B-25813"/>
    <x v="144"/>
    <x v="193"/>
    <x v="1"/>
    <x v="17"/>
    <n v="911"/>
    <n v="202"/>
    <n v="7"/>
    <x v="2"/>
    <x v="8"/>
    <x v="2"/>
    <n v="130.14285714285714"/>
  </r>
  <r>
    <s v="B-25814"/>
    <x v="144"/>
    <x v="194"/>
    <x v="2"/>
    <x v="18"/>
    <n v="118"/>
    <n v="35"/>
    <n v="7"/>
    <x v="1"/>
    <x v="3"/>
    <x v="3"/>
    <n v="16.857142857142858"/>
  </r>
  <r>
    <s v="B-25815"/>
    <x v="144"/>
    <x v="140"/>
    <x v="16"/>
    <x v="15"/>
    <n v="35"/>
    <n v="14"/>
    <n v="2"/>
    <x v="1"/>
    <x v="10"/>
    <x v="1"/>
    <n v="17.5"/>
  </r>
  <r>
    <s v="B-25816"/>
    <x v="145"/>
    <x v="195"/>
    <x v="17"/>
    <x v="16"/>
    <n v="391"/>
    <n v="113"/>
    <n v="8"/>
    <x v="1"/>
    <x v="10"/>
    <x v="2"/>
    <n v="48.875"/>
  </r>
  <r>
    <s v="B-25817"/>
    <x v="146"/>
    <x v="196"/>
    <x v="1"/>
    <x v="17"/>
    <n v="743"/>
    <n v="89"/>
    <n v="5"/>
    <x v="0"/>
    <x v="9"/>
    <x v="0"/>
    <n v="148.6"/>
  </r>
  <r>
    <s v="B-25818"/>
    <x v="147"/>
    <x v="197"/>
    <x v="2"/>
    <x v="18"/>
    <n v="32"/>
    <n v="11"/>
    <n v="2"/>
    <x v="1"/>
    <x v="6"/>
    <x v="0"/>
    <n v="16"/>
  </r>
  <r>
    <s v="B-25819"/>
    <x v="148"/>
    <x v="198"/>
    <x v="2"/>
    <x v="2"/>
    <n v="417"/>
    <n v="49"/>
    <n v="3"/>
    <x v="0"/>
    <x v="0"/>
    <x v="2"/>
    <n v="139"/>
  </r>
  <r>
    <s v="B-25820"/>
    <x v="149"/>
    <x v="199"/>
    <x v="3"/>
    <x v="3"/>
    <n v="119"/>
    <n v="1"/>
    <n v="1"/>
    <x v="2"/>
    <x v="8"/>
    <x v="2"/>
    <n v="119"/>
  </r>
  <r>
    <s v="B-25821"/>
    <x v="149"/>
    <x v="41"/>
    <x v="4"/>
    <x v="4"/>
    <n v="17"/>
    <n v="0"/>
    <n v="1"/>
    <x v="1"/>
    <x v="2"/>
    <x v="2"/>
    <n v="17"/>
  </r>
  <r>
    <s v="B-25822"/>
    <x v="150"/>
    <x v="200"/>
    <x v="5"/>
    <x v="5"/>
    <n v="34"/>
    <n v="13"/>
    <n v="2"/>
    <x v="1"/>
    <x v="4"/>
    <x v="2"/>
    <n v="17"/>
  </r>
  <r>
    <s v="B-25823"/>
    <x v="150"/>
    <x v="201"/>
    <x v="1"/>
    <x v="17"/>
    <n v="59"/>
    <n v="6"/>
    <n v="1"/>
    <x v="0"/>
    <x v="14"/>
    <x v="0"/>
    <n v="59"/>
  </r>
  <r>
    <s v="B-25824"/>
    <x v="151"/>
    <x v="202"/>
    <x v="2"/>
    <x v="18"/>
    <n v="101"/>
    <n v="38"/>
    <n v="2"/>
    <x v="2"/>
    <x v="11"/>
    <x v="2"/>
    <n v="50.5"/>
  </r>
  <r>
    <s v="B-25825"/>
    <x v="152"/>
    <x v="138"/>
    <x v="2"/>
    <x v="18"/>
    <n v="140"/>
    <n v="6"/>
    <n v="5"/>
    <x v="1"/>
    <x v="4"/>
    <x v="2"/>
    <n v="28"/>
  </r>
  <r>
    <s v="B-25826"/>
    <x v="153"/>
    <x v="203"/>
    <x v="1"/>
    <x v="17"/>
    <n v="637"/>
    <n v="261"/>
    <n v="2"/>
    <x v="0"/>
    <x v="9"/>
    <x v="2"/>
    <n v="318.5"/>
  </r>
  <r>
    <s v="B-25827"/>
    <x v="154"/>
    <x v="83"/>
    <x v="2"/>
    <x v="18"/>
    <n v="156"/>
    <n v="21"/>
    <n v="3"/>
    <x v="2"/>
    <x v="8"/>
    <x v="2"/>
    <n v="52"/>
  </r>
  <r>
    <s v="B-25828"/>
    <x v="155"/>
    <x v="204"/>
    <x v="11"/>
    <x v="11"/>
    <n v="537"/>
    <n v="107"/>
    <n v="3"/>
    <x v="1"/>
    <x v="4"/>
    <x v="2"/>
    <n v="179"/>
  </r>
  <r>
    <s v="B-25829"/>
    <x v="156"/>
    <x v="205"/>
    <x v="12"/>
    <x v="11"/>
    <n v="345"/>
    <n v="38"/>
    <n v="7"/>
    <x v="1"/>
    <x v="2"/>
    <x v="4"/>
    <n v="49.285714285714285"/>
  </r>
  <r>
    <s v="B-25830"/>
    <x v="157"/>
    <x v="206"/>
    <x v="13"/>
    <x v="12"/>
    <n v="1954"/>
    <n v="782"/>
    <n v="3"/>
    <x v="0"/>
    <x v="1"/>
    <x v="1"/>
    <n v="651.33333333333337"/>
  </r>
  <r>
    <s v="B-25831"/>
    <x v="158"/>
    <x v="73"/>
    <x v="14"/>
    <x v="13"/>
    <n v="693"/>
    <n v="254"/>
    <n v="6"/>
    <x v="1"/>
    <x v="4"/>
    <x v="2"/>
    <n v="115.5"/>
  </r>
  <r>
    <s v="B-25832"/>
    <x v="159"/>
    <x v="207"/>
    <x v="1"/>
    <x v="17"/>
    <n v="504"/>
    <n v="116"/>
    <n v="3"/>
    <x v="2"/>
    <x v="13"/>
    <x v="2"/>
    <n v="168"/>
  </r>
  <r>
    <s v="B-25833"/>
    <x v="160"/>
    <x v="208"/>
    <x v="2"/>
    <x v="18"/>
    <n v="64"/>
    <n v="27"/>
    <n v="5"/>
    <x v="1"/>
    <x v="2"/>
    <x v="0"/>
    <n v="12.8"/>
  </r>
  <r>
    <s v="B-25834"/>
    <x v="160"/>
    <x v="209"/>
    <x v="17"/>
    <x v="16"/>
    <n v="16"/>
    <n v="5"/>
    <n v="1"/>
    <x v="1"/>
    <x v="10"/>
    <x v="0"/>
    <n v="16"/>
  </r>
  <r>
    <s v="B-25835"/>
    <x v="160"/>
    <x v="210"/>
    <x v="0"/>
    <x v="0"/>
    <n v="52"/>
    <n v="11"/>
    <n v="5"/>
    <x v="1"/>
    <x v="6"/>
    <x v="2"/>
    <n v="10.4"/>
  </r>
  <r>
    <s v="B-25836"/>
    <x v="160"/>
    <x v="211"/>
    <x v="1"/>
    <x v="1"/>
    <n v="1298"/>
    <n v="65"/>
    <n v="9"/>
    <x v="0"/>
    <x v="9"/>
    <x v="3"/>
    <n v="144.22222222222223"/>
  </r>
  <r>
    <s v="B-25837"/>
    <x v="160"/>
    <x v="212"/>
    <x v="1"/>
    <x v="17"/>
    <n v="263"/>
    <n v="50"/>
    <n v="5"/>
    <x v="1"/>
    <x v="10"/>
    <x v="2"/>
    <n v="52.6"/>
  </r>
  <r>
    <s v="B-25838"/>
    <x v="160"/>
    <x v="158"/>
    <x v="2"/>
    <x v="18"/>
    <n v="161"/>
    <n v="40"/>
    <n v="3"/>
    <x v="1"/>
    <x v="10"/>
    <x v="2"/>
    <n v="53.666666666666664"/>
  </r>
  <r>
    <s v="B-25839"/>
    <x v="161"/>
    <x v="213"/>
    <x v="4"/>
    <x v="4"/>
    <n v="1250"/>
    <n v="486"/>
    <n v="7"/>
    <x v="1"/>
    <x v="4"/>
    <x v="3"/>
    <n v="178.57142857142858"/>
  </r>
  <r>
    <s v="B-25840"/>
    <x v="162"/>
    <x v="214"/>
    <x v="5"/>
    <x v="5"/>
    <n v="298"/>
    <n v="74"/>
    <n v="2"/>
    <x v="2"/>
    <x v="13"/>
    <x v="2"/>
    <n v="149"/>
  </r>
  <r>
    <s v="B-25841"/>
    <x v="163"/>
    <x v="215"/>
    <x v="1"/>
    <x v="17"/>
    <n v="22"/>
    <n v="11"/>
    <n v="2"/>
    <x v="1"/>
    <x v="15"/>
    <x v="1"/>
    <n v="11"/>
  </r>
  <r>
    <s v="B-25842"/>
    <x v="164"/>
    <x v="83"/>
    <x v="1"/>
    <x v="1"/>
    <n v="1543"/>
    <n v="370"/>
    <n v="8"/>
    <x v="0"/>
    <x v="9"/>
    <x v="1"/>
    <n v="192.875"/>
  </r>
  <r>
    <s v="B-25843"/>
    <x v="165"/>
    <x v="216"/>
    <x v="1"/>
    <x v="17"/>
    <n v="18"/>
    <n v="6"/>
    <n v="3"/>
    <x v="1"/>
    <x v="2"/>
    <x v="0"/>
    <n v="6"/>
  </r>
  <r>
    <s v="B-25844"/>
    <x v="165"/>
    <x v="217"/>
    <x v="2"/>
    <x v="18"/>
    <n v="86"/>
    <n v="8"/>
    <n v="2"/>
    <x v="1"/>
    <x v="4"/>
    <x v="4"/>
    <n v="43"/>
  </r>
  <r>
    <s v="B-25845"/>
    <x v="165"/>
    <x v="218"/>
    <x v="10"/>
    <x v="10"/>
    <n v="82"/>
    <n v="-33"/>
    <n v="4"/>
    <x v="1"/>
    <x v="16"/>
    <x v="2"/>
    <n v="20.5"/>
  </r>
  <r>
    <s v="B-25846"/>
    <x v="165"/>
    <x v="219"/>
    <x v="11"/>
    <x v="11"/>
    <n v="94"/>
    <n v="7"/>
    <n v="7"/>
    <x v="1"/>
    <x v="6"/>
    <x v="0"/>
    <n v="13.428571428571429"/>
  </r>
  <r>
    <s v="B-25847"/>
    <x v="165"/>
    <x v="220"/>
    <x v="12"/>
    <x v="11"/>
    <n v="643"/>
    <n v="225"/>
    <n v="2"/>
    <x v="0"/>
    <x v="9"/>
    <x v="2"/>
    <n v="321.5"/>
  </r>
  <r>
    <s v="B-25848"/>
    <x v="165"/>
    <x v="201"/>
    <x v="13"/>
    <x v="12"/>
    <n v="648"/>
    <n v="50"/>
    <n v="6"/>
    <x v="0"/>
    <x v="0"/>
    <x v="1"/>
    <n v="108"/>
  </r>
  <r>
    <s v="B-25849"/>
    <x v="166"/>
    <x v="221"/>
    <x v="14"/>
    <x v="13"/>
    <n v="336"/>
    <n v="123"/>
    <n v="3"/>
    <x v="0"/>
    <x v="1"/>
    <x v="0"/>
    <n v="112"/>
  </r>
  <r>
    <s v="B-25850"/>
    <x v="167"/>
    <x v="173"/>
    <x v="15"/>
    <x v="14"/>
    <n v="916"/>
    <n v="192"/>
    <n v="11"/>
    <x v="0"/>
    <x v="1"/>
    <x v="2"/>
    <n v="83.272727272727266"/>
  </r>
  <r>
    <s v="B-25851"/>
    <x v="168"/>
    <x v="222"/>
    <x v="16"/>
    <x v="15"/>
    <n v="135"/>
    <n v="-54"/>
    <n v="5"/>
    <x v="1"/>
    <x v="16"/>
    <x v="2"/>
    <n v="27"/>
  </r>
  <r>
    <s v="B-25852"/>
    <x v="169"/>
    <x v="223"/>
    <x v="17"/>
    <x v="16"/>
    <n v="869"/>
    <n v="67"/>
    <n v="4"/>
    <x v="2"/>
    <x v="7"/>
    <x v="2"/>
    <n v="217.25"/>
  </r>
  <r>
    <s v="B-25853"/>
    <x v="170"/>
    <x v="224"/>
    <x v="0"/>
    <x v="0"/>
    <n v="2093"/>
    <n v="721"/>
    <n v="5"/>
    <x v="2"/>
    <x v="8"/>
    <x v="1"/>
    <n v="418.6"/>
  </r>
  <r>
    <s v="B-25854"/>
    <x v="170"/>
    <x v="130"/>
    <x v="1"/>
    <x v="1"/>
    <n v="381"/>
    <n v="144"/>
    <n v="2"/>
    <x v="1"/>
    <x v="4"/>
    <x v="2"/>
    <n v="190.5"/>
  </r>
  <r>
    <s v="B-25855"/>
    <x v="170"/>
    <x v="225"/>
    <x v="2"/>
    <x v="2"/>
    <n v="829"/>
    <n v="19"/>
    <n v="4"/>
    <x v="0"/>
    <x v="9"/>
    <x v="1"/>
    <n v="207.25"/>
  </r>
  <r>
    <s v="B-25856"/>
    <x v="171"/>
    <x v="225"/>
    <x v="1"/>
    <x v="17"/>
    <n v="257"/>
    <n v="3"/>
    <n v="2"/>
    <x v="1"/>
    <x v="4"/>
    <x v="2"/>
    <n v="128.5"/>
  </r>
  <r>
    <s v="B-25857"/>
    <x v="171"/>
    <x v="226"/>
    <x v="2"/>
    <x v="18"/>
    <n v="324"/>
    <n v="39"/>
    <n v="8"/>
    <x v="0"/>
    <x v="14"/>
    <x v="1"/>
    <n v="40.5"/>
  </r>
  <r>
    <s v="B-25858"/>
    <x v="172"/>
    <x v="227"/>
    <x v="1"/>
    <x v="17"/>
    <n v="29"/>
    <n v="11"/>
    <n v="4"/>
    <x v="1"/>
    <x v="15"/>
    <x v="2"/>
    <n v="7.25"/>
  </r>
  <r>
    <s v="B-25859"/>
    <x v="173"/>
    <x v="228"/>
    <x v="2"/>
    <x v="18"/>
    <n v="724"/>
    <n v="253"/>
    <n v="2"/>
    <x v="2"/>
    <x v="13"/>
    <x v="0"/>
    <n v="362"/>
  </r>
  <r>
    <s v="B-25860"/>
    <x v="174"/>
    <x v="145"/>
    <x v="7"/>
    <x v="7"/>
    <n v="112"/>
    <n v="24"/>
    <n v="3"/>
    <x v="1"/>
    <x v="16"/>
    <x v="2"/>
    <n v="37.333333333333336"/>
  </r>
  <r>
    <s v="B-25861"/>
    <x v="174"/>
    <x v="229"/>
    <x v="8"/>
    <x v="8"/>
    <n v="44"/>
    <n v="14"/>
    <n v="3"/>
    <x v="1"/>
    <x v="2"/>
    <x v="4"/>
    <n v="14.666666666666666"/>
  </r>
  <r>
    <s v="B-25862"/>
    <x v="174"/>
    <x v="230"/>
    <x v="9"/>
    <x v="9"/>
    <n v="121"/>
    <n v="41"/>
    <n v="4"/>
    <x v="1"/>
    <x v="10"/>
    <x v="3"/>
    <n v="30.25"/>
  </r>
  <r>
    <s v="B-25863"/>
    <x v="174"/>
    <x v="231"/>
    <x v="10"/>
    <x v="10"/>
    <n v="189"/>
    <n v="87"/>
    <n v="7"/>
    <x v="1"/>
    <x v="10"/>
    <x v="2"/>
    <n v="27"/>
  </r>
  <r>
    <s v="B-25864"/>
    <x v="174"/>
    <x v="232"/>
    <x v="1"/>
    <x v="17"/>
    <n v="100"/>
    <n v="6"/>
    <n v="4"/>
    <x v="1"/>
    <x v="10"/>
    <x v="2"/>
    <n v="25"/>
  </r>
  <r>
    <s v="B-25865"/>
    <x v="174"/>
    <x v="233"/>
    <x v="2"/>
    <x v="18"/>
    <n v="85"/>
    <n v="-1"/>
    <n v="3"/>
    <x v="1"/>
    <x v="4"/>
    <x v="1"/>
    <n v="28.333333333333332"/>
  </r>
  <r>
    <s v="B-25866"/>
    <x v="175"/>
    <x v="234"/>
    <x v="13"/>
    <x v="12"/>
    <n v="51"/>
    <n v="14"/>
    <n v="2"/>
    <x v="1"/>
    <x v="10"/>
    <x v="2"/>
    <n v="25.5"/>
  </r>
  <r>
    <s v="B-25867"/>
    <x v="176"/>
    <x v="185"/>
    <x v="14"/>
    <x v="13"/>
    <n v="240"/>
    <n v="12"/>
    <n v="6"/>
    <x v="1"/>
    <x v="16"/>
    <x v="0"/>
    <n v="40"/>
  </r>
  <r>
    <s v="B-25868"/>
    <x v="177"/>
    <x v="235"/>
    <x v="15"/>
    <x v="14"/>
    <n v="1118"/>
    <n v="206"/>
    <n v="2"/>
    <x v="2"/>
    <x v="7"/>
    <x v="1"/>
    <n v="559"/>
  </r>
  <r>
    <s v="B-25869"/>
    <x v="178"/>
    <x v="236"/>
    <x v="16"/>
    <x v="15"/>
    <n v="86"/>
    <n v="9"/>
    <n v="3"/>
    <x v="1"/>
    <x v="4"/>
    <x v="2"/>
    <n v="28.666666666666668"/>
  </r>
  <r>
    <s v="B-25870"/>
    <x v="179"/>
    <x v="127"/>
    <x v="17"/>
    <x v="16"/>
    <n v="845"/>
    <n v="84"/>
    <n v="7"/>
    <x v="1"/>
    <x v="4"/>
    <x v="1"/>
    <n v="120.71428571428571"/>
  </r>
  <r>
    <s v="B-25871"/>
    <x v="180"/>
    <x v="237"/>
    <x v="0"/>
    <x v="20"/>
    <n v="118"/>
    <n v="25"/>
    <n v="4"/>
    <x v="1"/>
    <x v="2"/>
    <x v="1"/>
    <n v="29.5"/>
  </r>
  <r>
    <s v="B-25872"/>
    <x v="181"/>
    <x v="238"/>
    <x v="1"/>
    <x v="17"/>
    <n v="57"/>
    <n v="27"/>
    <n v="2"/>
    <x v="1"/>
    <x v="5"/>
    <x v="2"/>
    <n v="28.5"/>
  </r>
  <r>
    <s v="B-25873"/>
    <x v="182"/>
    <x v="239"/>
    <x v="2"/>
    <x v="18"/>
    <n v="42"/>
    <n v="12"/>
    <n v="2"/>
    <x v="1"/>
    <x v="16"/>
    <x v="2"/>
    <n v="21"/>
  </r>
  <r>
    <s v="B-25874"/>
    <x v="183"/>
    <x v="106"/>
    <x v="3"/>
    <x v="21"/>
    <n v="124"/>
    <n v="54"/>
    <n v="5"/>
    <x v="1"/>
    <x v="3"/>
    <x v="2"/>
    <n v="24.8"/>
  </r>
  <r>
    <s v="B-25875"/>
    <x v="183"/>
    <x v="240"/>
    <x v="8"/>
    <x v="22"/>
    <n v="248"/>
    <n v="8"/>
    <n v="2"/>
    <x v="1"/>
    <x v="4"/>
    <x v="1"/>
    <n v="124"/>
  </r>
  <r>
    <s v="B-25876"/>
    <x v="183"/>
    <x v="241"/>
    <x v="11"/>
    <x v="23"/>
    <n v="282"/>
    <n v="14"/>
    <n v="4"/>
    <x v="1"/>
    <x v="12"/>
    <x v="4"/>
    <n v="70.5"/>
  </r>
  <r>
    <s v="B-25877"/>
    <x v="183"/>
    <x v="242"/>
    <x v="0"/>
    <x v="20"/>
    <n v="24"/>
    <n v="8"/>
    <n v="2"/>
    <x v="1"/>
    <x v="15"/>
    <x v="4"/>
    <n v="12"/>
  </r>
  <r>
    <s v="B-25878"/>
    <x v="183"/>
    <x v="243"/>
    <x v="1"/>
    <x v="17"/>
    <n v="741"/>
    <n v="267"/>
    <n v="5"/>
    <x v="2"/>
    <x v="13"/>
    <x v="2"/>
    <n v="148.19999999999999"/>
  </r>
  <r>
    <s v="B-25879"/>
    <x v="183"/>
    <x v="174"/>
    <x v="2"/>
    <x v="18"/>
    <n v="57"/>
    <n v="-28"/>
    <n v="2"/>
    <x v="1"/>
    <x v="16"/>
    <x v="2"/>
    <n v="28.5"/>
  </r>
  <r>
    <s v="B-25880"/>
    <x v="183"/>
    <x v="244"/>
    <x v="3"/>
    <x v="21"/>
    <n v="108"/>
    <n v="37"/>
    <n v="2"/>
    <x v="1"/>
    <x v="10"/>
    <x v="1"/>
    <n v="54"/>
  </r>
  <r>
    <s v="B-25881"/>
    <x v="184"/>
    <x v="245"/>
    <x v="8"/>
    <x v="19"/>
    <n v="2244"/>
    <n v="247"/>
    <n v="4"/>
    <x v="1"/>
    <x v="12"/>
    <x v="1"/>
    <n v="561"/>
  </r>
  <r>
    <s v="B-25882"/>
    <x v="185"/>
    <x v="246"/>
    <x v="11"/>
    <x v="23"/>
    <n v="121"/>
    <n v="19"/>
    <n v="4"/>
    <x v="1"/>
    <x v="10"/>
    <x v="2"/>
    <n v="30.25"/>
  </r>
  <r>
    <s v="B-25883"/>
    <x v="186"/>
    <x v="247"/>
    <x v="0"/>
    <x v="20"/>
    <n v="16"/>
    <n v="-15"/>
    <n v="4"/>
    <x v="1"/>
    <x v="2"/>
    <x v="0"/>
    <n v="4"/>
  </r>
  <r>
    <s v="B-25884"/>
    <x v="187"/>
    <x v="248"/>
    <x v="1"/>
    <x v="17"/>
    <n v="24"/>
    <n v="2"/>
    <n v="4"/>
    <x v="1"/>
    <x v="2"/>
    <x v="2"/>
    <n v="6"/>
  </r>
  <r>
    <s v="B-25885"/>
    <x v="187"/>
    <x v="249"/>
    <x v="2"/>
    <x v="18"/>
    <n v="734"/>
    <n v="248"/>
    <n v="2"/>
    <x v="2"/>
    <x v="8"/>
    <x v="2"/>
    <n v="367"/>
  </r>
  <r>
    <s v="B-25886"/>
    <x v="187"/>
    <x v="250"/>
    <x v="3"/>
    <x v="21"/>
    <n v="502"/>
    <n v="84"/>
    <n v="4"/>
    <x v="0"/>
    <x v="1"/>
    <x v="2"/>
    <n v="125.5"/>
  </r>
  <r>
    <s v="B-25887"/>
    <x v="188"/>
    <x v="147"/>
    <x v="8"/>
    <x v="22"/>
    <n v="2125"/>
    <n v="-234"/>
    <n v="6"/>
    <x v="0"/>
    <x v="9"/>
    <x v="3"/>
    <n v="354.16666666666669"/>
  </r>
  <r>
    <s v="B-25888"/>
    <x v="189"/>
    <x v="201"/>
    <x v="11"/>
    <x v="23"/>
    <n v="646"/>
    <n v="-213"/>
    <n v="3"/>
    <x v="0"/>
    <x v="0"/>
    <x v="2"/>
    <n v="215.33333333333334"/>
  </r>
  <r>
    <s v="B-25889"/>
    <x v="190"/>
    <x v="173"/>
    <x v="0"/>
    <x v="20"/>
    <n v="114"/>
    <n v="11"/>
    <n v="4"/>
    <x v="1"/>
    <x v="3"/>
    <x v="4"/>
    <n v="28.5"/>
  </r>
  <r>
    <s v="B-25890"/>
    <x v="191"/>
    <x v="251"/>
    <x v="1"/>
    <x v="17"/>
    <n v="465"/>
    <n v="207"/>
    <n v="9"/>
    <x v="1"/>
    <x v="4"/>
    <x v="2"/>
    <n v="51.666666666666664"/>
  </r>
  <r>
    <s v="B-25891"/>
    <x v="191"/>
    <x v="103"/>
    <x v="2"/>
    <x v="18"/>
    <n v="121"/>
    <n v="41"/>
    <n v="4"/>
    <x v="1"/>
    <x v="10"/>
    <x v="0"/>
    <n v="30.25"/>
  </r>
  <r>
    <s v="B-25892"/>
    <x v="191"/>
    <x v="162"/>
    <x v="3"/>
    <x v="21"/>
    <n v="139"/>
    <n v="30"/>
    <n v="3"/>
    <x v="1"/>
    <x v="5"/>
    <x v="0"/>
    <n v="46.333333333333336"/>
  </r>
  <r>
    <s v="B-25893"/>
    <x v="191"/>
    <x v="1"/>
    <x v="8"/>
    <x v="19"/>
    <n v="61"/>
    <n v="11"/>
    <n v="3"/>
    <x v="1"/>
    <x v="16"/>
    <x v="2"/>
    <n v="20.333333333333332"/>
  </r>
  <r>
    <s v="B-25894"/>
    <x v="191"/>
    <x v="252"/>
    <x v="11"/>
    <x v="23"/>
    <n v="1246"/>
    <n v="62"/>
    <n v="3"/>
    <x v="2"/>
    <x v="13"/>
    <x v="3"/>
    <n v="415.33333333333331"/>
  </r>
  <r>
    <s v="B-25895"/>
    <x v="191"/>
    <x v="253"/>
    <x v="0"/>
    <x v="20"/>
    <n v="388"/>
    <n v="93"/>
    <n v="2"/>
    <x v="2"/>
    <x v="13"/>
    <x v="2"/>
    <n v="194"/>
  </r>
  <r>
    <s v="B-25896"/>
    <x v="192"/>
    <x v="136"/>
    <x v="1"/>
    <x v="17"/>
    <n v="31"/>
    <n v="-11"/>
    <n v="3"/>
    <x v="1"/>
    <x v="15"/>
    <x v="0"/>
    <n v="10.333333333333334"/>
  </r>
  <r>
    <s v="B-25897"/>
    <x v="193"/>
    <x v="201"/>
    <x v="2"/>
    <x v="18"/>
    <n v="734"/>
    <n v="213"/>
    <n v="6"/>
    <x v="0"/>
    <x v="0"/>
    <x v="1"/>
    <n v="122.33333333333333"/>
  </r>
  <r>
    <s v="B-25898"/>
    <x v="194"/>
    <x v="173"/>
    <x v="3"/>
    <x v="21"/>
    <n v="857"/>
    <n v="-274"/>
    <n v="2"/>
    <x v="2"/>
    <x v="7"/>
    <x v="2"/>
    <n v="428.5"/>
  </r>
  <r>
    <s v="B-25899"/>
    <x v="195"/>
    <x v="254"/>
    <x v="8"/>
    <x v="22"/>
    <n v="22"/>
    <n v="9"/>
    <n v="2"/>
    <x v="1"/>
    <x v="6"/>
    <x v="4"/>
    <n v="11"/>
  </r>
  <r>
    <s v="B-25900"/>
    <x v="196"/>
    <x v="226"/>
    <x v="11"/>
    <x v="23"/>
    <n v="15"/>
    <n v="2"/>
    <n v="1"/>
    <x v="1"/>
    <x v="6"/>
    <x v="4"/>
    <n v="15"/>
  </r>
  <r>
    <s v="B-25901"/>
    <x v="197"/>
    <x v="255"/>
    <x v="0"/>
    <x v="20"/>
    <n v="159"/>
    <n v="2"/>
    <n v="3"/>
    <x v="2"/>
    <x v="11"/>
    <x v="3"/>
    <n v="53"/>
  </r>
  <r>
    <s v="B-25902"/>
    <x v="197"/>
    <x v="256"/>
    <x v="1"/>
    <x v="17"/>
    <n v="268"/>
    <n v="6"/>
    <n v="2"/>
    <x v="2"/>
    <x v="13"/>
    <x v="0"/>
    <n v="134"/>
  </r>
  <r>
    <s v="B-25903"/>
    <x v="197"/>
    <x v="257"/>
    <x v="2"/>
    <x v="18"/>
    <n v="19"/>
    <n v="8"/>
    <n v="2"/>
    <x v="1"/>
    <x v="2"/>
    <x v="4"/>
    <n v="9.5"/>
  </r>
  <r>
    <s v="B-25904"/>
    <x v="197"/>
    <x v="194"/>
    <x v="18"/>
    <x v="24"/>
    <n v="83"/>
    <n v="12"/>
    <n v="2"/>
    <x v="2"/>
    <x v="8"/>
    <x v="2"/>
    <n v="41.5"/>
  </r>
  <r>
    <s v="B-25905"/>
    <x v="198"/>
    <x v="258"/>
    <x v="18"/>
    <x v="24"/>
    <n v="152"/>
    <n v="50"/>
    <n v="6"/>
    <x v="1"/>
    <x v="10"/>
    <x v="0"/>
    <n v="25.333333333333332"/>
  </r>
  <r>
    <s v="B-25906"/>
    <x v="198"/>
    <x v="259"/>
    <x v="18"/>
    <x v="24"/>
    <n v="78"/>
    <n v="27"/>
    <n v="3"/>
    <x v="1"/>
    <x v="10"/>
    <x v="2"/>
    <n v="26"/>
  </r>
  <r>
    <s v="B-25907"/>
    <x v="198"/>
    <x v="260"/>
    <x v="2"/>
    <x v="2"/>
    <n v="30"/>
    <n v="11"/>
    <n v="5"/>
    <x v="1"/>
    <x v="2"/>
    <x v="2"/>
    <n v="6"/>
  </r>
  <r>
    <s v="B-25908"/>
    <x v="199"/>
    <x v="261"/>
    <x v="18"/>
    <x v="24"/>
    <n v="179"/>
    <n v="-25"/>
    <n v="5"/>
    <x v="1"/>
    <x v="16"/>
    <x v="2"/>
    <n v="35.799999999999997"/>
  </r>
  <r>
    <s v="B-25909"/>
    <x v="200"/>
    <x v="262"/>
    <x v="1"/>
    <x v="1"/>
    <n v="1622"/>
    <n v="-448"/>
    <n v="3"/>
    <x v="0"/>
    <x v="1"/>
    <x v="3"/>
    <n v="540.66666666666663"/>
  </r>
  <r>
    <s v="B-25910"/>
    <x v="201"/>
    <x v="263"/>
    <x v="18"/>
    <x v="24"/>
    <n v="1622"/>
    <n v="-624"/>
    <n v="5"/>
    <x v="2"/>
    <x v="7"/>
    <x v="1"/>
    <n v="324.39999999999998"/>
  </r>
  <r>
    <s v="B-25911"/>
    <x v="202"/>
    <x v="264"/>
    <x v="2"/>
    <x v="2"/>
    <n v="40"/>
    <n v="15"/>
    <n v="1"/>
    <x v="1"/>
    <x v="16"/>
    <x v="2"/>
    <n v="40"/>
  </r>
  <r>
    <s v="B-25912"/>
    <x v="203"/>
    <x v="265"/>
    <x v="18"/>
    <x v="24"/>
    <n v="102"/>
    <n v="11"/>
    <n v="6"/>
    <x v="1"/>
    <x v="3"/>
    <x v="2"/>
    <n v="17"/>
  </r>
  <r>
    <s v="B-25913"/>
    <x v="204"/>
    <x v="266"/>
    <x v="18"/>
    <x v="24"/>
    <n v="103"/>
    <n v="21"/>
    <n v="7"/>
    <x v="1"/>
    <x v="10"/>
    <x v="0"/>
    <n v="14.714285714285714"/>
  </r>
  <r>
    <s v="B-25914"/>
    <x v="205"/>
    <x v="267"/>
    <x v="18"/>
    <x v="24"/>
    <n v="125"/>
    <n v="22"/>
    <n v="3"/>
    <x v="1"/>
    <x v="10"/>
    <x v="3"/>
    <n v="41.666666666666664"/>
  </r>
  <r>
    <s v="B-25915"/>
    <x v="206"/>
    <x v="268"/>
    <x v="11"/>
    <x v="23"/>
    <n v="277"/>
    <n v="3"/>
    <n v="1"/>
    <x v="0"/>
    <x v="0"/>
    <x v="2"/>
    <n v="277"/>
  </r>
  <r>
    <s v="B-25916"/>
    <x v="207"/>
    <x v="269"/>
    <x v="0"/>
    <x v="20"/>
    <n v="80"/>
    <n v="-26"/>
    <n v="9"/>
    <x v="1"/>
    <x v="15"/>
    <x v="3"/>
    <n v="8.8888888888888893"/>
  </r>
  <r>
    <s v="B-25917"/>
    <x v="208"/>
    <x v="33"/>
    <x v="1"/>
    <x v="17"/>
    <n v="100"/>
    <n v="12"/>
    <n v="2"/>
    <x v="1"/>
    <x v="3"/>
    <x v="0"/>
    <n v="50"/>
  </r>
  <r>
    <s v="B-25918"/>
    <x v="209"/>
    <x v="270"/>
    <x v="2"/>
    <x v="18"/>
    <n v="244"/>
    <n v="-122"/>
    <n v="5"/>
    <x v="2"/>
    <x v="11"/>
    <x v="2"/>
    <n v="48.8"/>
  </r>
  <r>
    <s v="B-25919"/>
    <x v="210"/>
    <x v="271"/>
    <x v="3"/>
    <x v="21"/>
    <n v="110"/>
    <n v="12"/>
    <n v="7"/>
    <x v="1"/>
    <x v="10"/>
    <x v="4"/>
    <n v="15.714285714285714"/>
  </r>
  <r>
    <s v="B-25920"/>
    <x v="211"/>
    <x v="272"/>
    <x v="8"/>
    <x v="22"/>
    <n v="100"/>
    <n v="7"/>
    <n v="2"/>
    <x v="1"/>
    <x v="3"/>
    <x v="0"/>
    <n v="50"/>
  </r>
  <r>
    <s v="B-25921"/>
    <x v="212"/>
    <x v="273"/>
    <x v="11"/>
    <x v="23"/>
    <n v="84"/>
    <n v="-42"/>
    <n v="2"/>
    <x v="0"/>
    <x v="14"/>
    <x v="2"/>
    <n v="42"/>
  </r>
  <r>
    <s v="B-25922"/>
    <x v="213"/>
    <x v="274"/>
    <x v="0"/>
    <x v="20"/>
    <n v="52"/>
    <n v="18"/>
    <n v="2"/>
    <x v="1"/>
    <x v="10"/>
    <x v="2"/>
    <n v="26"/>
  </r>
  <r>
    <s v="B-25923"/>
    <x v="214"/>
    <x v="275"/>
    <x v="1"/>
    <x v="17"/>
    <n v="3873"/>
    <n v="-891"/>
    <n v="6"/>
    <x v="0"/>
    <x v="1"/>
    <x v="1"/>
    <n v="645.5"/>
  </r>
  <r>
    <s v="B-25924"/>
    <x v="215"/>
    <x v="276"/>
    <x v="5"/>
    <x v="5"/>
    <n v="148"/>
    <n v="54"/>
    <n v="2"/>
    <x v="2"/>
    <x v="8"/>
    <x v="0"/>
    <n v="74"/>
  </r>
  <r>
    <s v="B-25925"/>
    <x v="216"/>
    <x v="59"/>
    <x v="1"/>
    <x v="17"/>
    <n v="27"/>
    <n v="12"/>
    <n v="1"/>
    <x v="1"/>
    <x v="10"/>
    <x v="4"/>
    <n v="27"/>
  </r>
  <r>
    <s v="B-25926"/>
    <x v="217"/>
    <x v="277"/>
    <x v="2"/>
    <x v="18"/>
    <n v="57"/>
    <n v="6"/>
    <n v="5"/>
    <x v="1"/>
    <x v="6"/>
    <x v="4"/>
    <n v="11.4"/>
  </r>
  <r>
    <s v="B-25927"/>
    <x v="218"/>
    <x v="74"/>
    <x v="8"/>
    <x v="8"/>
    <n v="200"/>
    <n v="7"/>
    <n v="4"/>
    <x v="0"/>
    <x v="0"/>
    <x v="1"/>
    <n v="50"/>
  </r>
  <r>
    <s v="B-25928"/>
    <x v="219"/>
    <x v="278"/>
    <x v="9"/>
    <x v="9"/>
    <n v="122"/>
    <n v="15"/>
    <n v="3"/>
    <x v="0"/>
    <x v="14"/>
    <x v="3"/>
    <n v="40.666666666666664"/>
  </r>
  <r>
    <s v="B-25929"/>
    <x v="220"/>
    <x v="279"/>
    <x v="10"/>
    <x v="10"/>
    <n v="1308"/>
    <n v="536"/>
    <n v="3"/>
    <x v="2"/>
    <x v="13"/>
    <x v="1"/>
    <n v="436"/>
  </r>
  <r>
    <s v="B-25930"/>
    <x v="221"/>
    <x v="280"/>
    <x v="11"/>
    <x v="11"/>
    <n v="595"/>
    <n v="119"/>
    <n v="4"/>
    <x v="2"/>
    <x v="13"/>
    <x v="2"/>
    <n v="148.75"/>
  </r>
  <r>
    <s v="B-25931"/>
    <x v="222"/>
    <x v="281"/>
    <x v="1"/>
    <x v="17"/>
    <n v="73"/>
    <n v="-36"/>
    <n v="3"/>
    <x v="2"/>
    <x v="8"/>
    <x v="0"/>
    <n v="24.333333333333332"/>
  </r>
  <r>
    <s v="B-25932"/>
    <x v="222"/>
    <x v="282"/>
    <x v="2"/>
    <x v="18"/>
    <n v="71"/>
    <n v="-14"/>
    <n v="4"/>
    <x v="2"/>
    <x v="11"/>
    <x v="2"/>
    <n v="17.75"/>
  </r>
  <r>
    <s v="B-25933"/>
    <x v="222"/>
    <x v="283"/>
    <x v="1"/>
    <x v="17"/>
    <n v="412"/>
    <n v="412"/>
    <n v="6"/>
    <x v="1"/>
    <x v="4"/>
    <x v="2"/>
    <n v="68.666666666666671"/>
  </r>
  <r>
    <s v="B-25934"/>
    <x v="222"/>
    <x v="284"/>
    <x v="2"/>
    <x v="18"/>
    <n v="105"/>
    <n v="33"/>
    <n v="6"/>
    <x v="1"/>
    <x v="4"/>
    <x v="3"/>
    <n v="17.5"/>
  </r>
  <r>
    <s v="B-25935"/>
    <x v="222"/>
    <x v="285"/>
    <x v="16"/>
    <x v="15"/>
    <n v="1657"/>
    <n v="460"/>
    <n v="4"/>
    <x v="2"/>
    <x v="8"/>
    <x v="1"/>
    <n v="414.25"/>
  </r>
  <r>
    <s v="B-25936"/>
    <x v="223"/>
    <x v="286"/>
    <x v="11"/>
    <x v="11"/>
    <n v="61"/>
    <n v="25"/>
    <n v="4"/>
    <x v="1"/>
    <x v="4"/>
    <x v="0"/>
    <n v="15.25"/>
  </r>
  <r>
    <s v="B-25937"/>
    <x v="223"/>
    <x v="185"/>
    <x v="12"/>
    <x v="11"/>
    <n v="1101"/>
    <n v="352"/>
    <n v="3"/>
    <x v="2"/>
    <x v="13"/>
    <x v="0"/>
    <n v="367"/>
  </r>
  <r>
    <s v="B-25938"/>
    <x v="223"/>
    <x v="283"/>
    <x v="13"/>
    <x v="12"/>
    <n v="61"/>
    <n v="1"/>
    <n v="2"/>
    <x v="2"/>
    <x v="11"/>
    <x v="2"/>
    <n v="30.5"/>
  </r>
  <r>
    <s v="B-25939"/>
    <x v="223"/>
    <x v="287"/>
    <x v="14"/>
    <x v="13"/>
    <n v="136"/>
    <n v="41"/>
    <n v="3"/>
    <x v="0"/>
    <x v="14"/>
    <x v="0"/>
    <n v="45.333333333333336"/>
  </r>
  <r>
    <s v="B-25940"/>
    <x v="224"/>
    <x v="288"/>
    <x v="15"/>
    <x v="14"/>
    <n v="13"/>
    <n v="3"/>
    <n v="2"/>
    <x v="1"/>
    <x v="2"/>
    <x v="2"/>
    <n v="6.5"/>
  </r>
  <r>
    <s v="B-25941"/>
    <x v="225"/>
    <x v="289"/>
    <x v="16"/>
    <x v="15"/>
    <n v="177"/>
    <n v="41"/>
    <n v="4"/>
    <x v="1"/>
    <x v="5"/>
    <x v="4"/>
    <n v="44.25"/>
  </r>
  <r>
    <s v="B-25942"/>
    <x v="226"/>
    <x v="198"/>
    <x v="17"/>
    <x v="16"/>
    <n v="646"/>
    <n v="-23"/>
    <n v="2"/>
    <x v="0"/>
    <x v="9"/>
    <x v="1"/>
    <n v="323"/>
  </r>
  <r>
    <s v="B-25943"/>
    <x v="227"/>
    <x v="290"/>
    <x v="0"/>
    <x v="0"/>
    <n v="1547"/>
    <n v="340"/>
    <n v="6"/>
    <x v="0"/>
    <x v="14"/>
    <x v="3"/>
    <n v="257.83333333333331"/>
  </r>
  <r>
    <s v="B-25944"/>
    <x v="228"/>
    <x v="291"/>
    <x v="1"/>
    <x v="1"/>
    <n v="169"/>
    <n v="38"/>
    <n v="3"/>
    <x v="1"/>
    <x v="4"/>
    <x v="4"/>
    <n v="56.333333333333336"/>
  </r>
  <r>
    <s v="B-25945"/>
    <x v="229"/>
    <x v="292"/>
    <x v="2"/>
    <x v="18"/>
    <n v="765"/>
    <n v="-36"/>
    <n v="3"/>
    <x v="0"/>
    <x v="0"/>
    <x v="2"/>
    <n v="255"/>
  </r>
  <r>
    <s v="B-25946"/>
    <x v="230"/>
    <x v="238"/>
    <x v="17"/>
    <x v="16"/>
    <n v="146"/>
    <n v="7"/>
    <n v="2"/>
    <x v="0"/>
    <x v="1"/>
    <x v="4"/>
    <n v="73"/>
  </r>
  <r>
    <s v="B-25947"/>
    <x v="231"/>
    <x v="293"/>
    <x v="0"/>
    <x v="0"/>
    <n v="290"/>
    <n v="35"/>
    <n v="6"/>
    <x v="1"/>
    <x v="2"/>
    <x v="2"/>
    <n v="48.333333333333336"/>
  </r>
  <r>
    <s v="B-25948"/>
    <x v="231"/>
    <x v="294"/>
    <x v="1"/>
    <x v="1"/>
    <n v="152"/>
    <n v="23"/>
    <n v="3"/>
    <x v="2"/>
    <x v="11"/>
    <x v="2"/>
    <n v="50.666666666666664"/>
  </r>
  <r>
    <s v="B-25949"/>
    <x v="231"/>
    <x v="295"/>
    <x v="1"/>
    <x v="17"/>
    <n v="151"/>
    <n v="9"/>
    <n v="3"/>
    <x v="1"/>
    <x v="2"/>
    <x v="3"/>
    <n v="50.333333333333336"/>
  </r>
  <r>
    <s v="B-25950"/>
    <x v="231"/>
    <x v="59"/>
    <x v="2"/>
    <x v="18"/>
    <n v="1622"/>
    <n v="95"/>
    <n v="5"/>
    <x v="0"/>
    <x v="9"/>
    <x v="1"/>
    <n v="324.39999999999998"/>
  </r>
  <r>
    <s v="B-25951"/>
    <x v="231"/>
    <x v="296"/>
    <x v="4"/>
    <x v="4"/>
    <n v="742"/>
    <n v="198"/>
    <n v="2"/>
    <x v="2"/>
    <x v="13"/>
    <x v="1"/>
    <n v="371"/>
  </r>
  <r>
    <s v="B-25952"/>
    <x v="231"/>
    <x v="55"/>
    <x v="2"/>
    <x v="18"/>
    <n v="14"/>
    <n v="0"/>
    <n v="4"/>
    <x v="1"/>
    <x v="2"/>
    <x v="0"/>
    <n v="3.5"/>
  </r>
  <r>
    <s v="B-25953"/>
    <x v="232"/>
    <x v="81"/>
    <x v="17"/>
    <x v="16"/>
    <n v="744"/>
    <n v="119"/>
    <n v="6"/>
    <x v="0"/>
    <x v="9"/>
    <x v="2"/>
    <n v="124"/>
  </r>
  <r>
    <s v="B-25954"/>
    <x v="232"/>
    <x v="297"/>
    <x v="0"/>
    <x v="0"/>
    <n v="27"/>
    <n v="0"/>
    <n v="2"/>
    <x v="1"/>
    <x v="6"/>
    <x v="2"/>
    <n v="13.5"/>
  </r>
  <r>
    <s v="B-25955"/>
    <x v="233"/>
    <x v="298"/>
    <x v="1"/>
    <x v="1"/>
    <n v="2927"/>
    <n v="146"/>
    <n v="8"/>
    <x v="2"/>
    <x v="13"/>
    <x v="3"/>
    <n v="365.875"/>
  </r>
  <r>
    <s v="B-25956"/>
    <x v="234"/>
    <x v="74"/>
    <x v="1"/>
    <x v="17"/>
    <n v="89"/>
    <n v="-37"/>
    <n v="4"/>
    <x v="1"/>
    <x v="5"/>
    <x v="2"/>
    <n v="22.25"/>
  </r>
  <r>
    <s v="B-25957"/>
    <x v="235"/>
    <x v="73"/>
    <x v="2"/>
    <x v="18"/>
    <n v="147"/>
    <n v="73"/>
    <n v="3"/>
    <x v="1"/>
    <x v="10"/>
    <x v="2"/>
    <n v="49"/>
  </r>
  <r>
    <s v="B-25958"/>
    <x v="235"/>
    <x v="299"/>
    <x v="4"/>
    <x v="4"/>
    <n v="105"/>
    <n v="25"/>
    <n v="2"/>
    <x v="1"/>
    <x v="2"/>
    <x v="3"/>
    <n v="52.5"/>
  </r>
  <r>
    <s v="B-25959"/>
    <x v="235"/>
    <x v="300"/>
    <x v="2"/>
    <x v="18"/>
    <n v="681"/>
    <n v="259"/>
    <n v="4"/>
    <x v="2"/>
    <x v="8"/>
    <x v="2"/>
    <n v="170.25"/>
  </r>
  <r>
    <s v="B-25960"/>
    <x v="235"/>
    <x v="74"/>
    <x v="17"/>
    <x v="16"/>
    <n v="171"/>
    <n v="-140"/>
    <n v="2"/>
    <x v="2"/>
    <x v="13"/>
    <x v="3"/>
    <n v="85.5"/>
  </r>
  <r>
    <s v="B-25961"/>
    <x v="235"/>
    <x v="156"/>
    <x v="0"/>
    <x v="0"/>
    <n v="446"/>
    <n v="53"/>
    <n v="3"/>
    <x v="0"/>
    <x v="9"/>
    <x v="2"/>
    <n v="148.66666666666666"/>
  </r>
  <r>
    <s v="B-25962"/>
    <x v="236"/>
    <x v="301"/>
    <x v="1"/>
    <x v="1"/>
    <n v="544"/>
    <n v="-152"/>
    <n v="3"/>
    <x v="2"/>
    <x v="13"/>
    <x v="2"/>
    <n v="181.33333333333334"/>
  </r>
  <r>
    <s v="B-25963"/>
    <x v="236"/>
    <x v="302"/>
    <x v="1"/>
    <x v="17"/>
    <n v="53"/>
    <n v="8"/>
    <n v="3"/>
    <x v="2"/>
    <x v="11"/>
    <x v="0"/>
    <n v="17.666666666666668"/>
  </r>
  <r>
    <s v="B-25964"/>
    <x v="237"/>
    <x v="303"/>
    <x v="1"/>
    <x v="1"/>
    <n v="346"/>
    <n v="108"/>
    <n v="3"/>
    <x v="2"/>
    <x v="8"/>
    <x v="2"/>
    <n v="115.33333333333333"/>
  </r>
  <r>
    <s v="B-25965"/>
    <x v="238"/>
    <x v="304"/>
    <x v="4"/>
    <x v="4"/>
    <n v="17"/>
    <n v="7"/>
    <n v="3"/>
    <x v="1"/>
    <x v="2"/>
    <x v="4"/>
    <n v="5.666666666666667"/>
  </r>
  <r>
    <s v="B-25966"/>
    <x v="238"/>
    <x v="148"/>
    <x v="3"/>
    <x v="21"/>
    <n v="510"/>
    <n v="234"/>
    <n v="6"/>
    <x v="0"/>
    <x v="0"/>
    <x v="3"/>
    <n v="85"/>
  </r>
  <r>
    <s v="B-25967"/>
    <x v="238"/>
    <x v="305"/>
    <x v="8"/>
    <x v="22"/>
    <n v="17"/>
    <n v="2"/>
    <n v="2"/>
    <x v="1"/>
    <x v="15"/>
    <x v="4"/>
    <n v="8.5"/>
  </r>
  <r>
    <s v="B-25968"/>
    <x v="238"/>
    <x v="306"/>
    <x v="11"/>
    <x v="23"/>
    <n v="811"/>
    <n v="154"/>
    <n v="7"/>
    <x v="0"/>
    <x v="14"/>
    <x v="0"/>
    <n v="115.85714285714286"/>
  </r>
  <r>
    <s v="B-25969"/>
    <x v="238"/>
    <x v="307"/>
    <x v="0"/>
    <x v="20"/>
    <n v="171"/>
    <n v="17"/>
    <n v="6"/>
    <x v="1"/>
    <x v="3"/>
    <x v="0"/>
    <n v="28.5"/>
  </r>
  <r>
    <s v="B-25970"/>
    <x v="239"/>
    <x v="67"/>
    <x v="1"/>
    <x v="17"/>
    <n v="742"/>
    <n v="198"/>
    <n v="2"/>
    <x v="2"/>
    <x v="13"/>
    <x v="2"/>
    <n v="371"/>
  </r>
  <r>
    <s v="B-25971"/>
    <x v="239"/>
    <x v="70"/>
    <x v="2"/>
    <x v="18"/>
    <n v="244"/>
    <n v="83"/>
    <n v="2"/>
    <x v="2"/>
    <x v="13"/>
    <x v="2"/>
    <n v="122"/>
  </r>
  <r>
    <s v="B-25972"/>
    <x v="240"/>
    <x v="308"/>
    <x v="3"/>
    <x v="21"/>
    <n v="115"/>
    <n v="47"/>
    <n v="2"/>
    <x v="0"/>
    <x v="14"/>
    <x v="2"/>
    <n v="57.5"/>
  </r>
  <r>
    <s v="B-25973"/>
    <x v="241"/>
    <x v="168"/>
    <x v="8"/>
    <x v="19"/>
    <n v="398"/>
    <n v="111"/>
    <n v="8"/>
    <x v="1"/>
    <x v="2"/>
    <x v="2"/>
    <n v="49.75"/>
  </r>
  <r>
    <s v="B-25974"/>
    <x v="242"/>
    <x v="309"/>
    <x v="3"/>
    <x v="21"/>
    <n v="662"/>
    <n v="240"/>
    <n v="2"/>
    <x v="2"/>
    <x v="13"/>
    <x v="2"/>
    <n v="331"/>
  </r>
  <r>
    <s v="B-25975"/>
    <x v="242"/>
    <x v="55"/>
    <x v="8"/>
    <x v="22"/>
    <n v="29"/>
    <n v="2"/>
    <n v="3"/>
    <x v="1"/>
    <x v="15"/>
    <x v="2"/>
    <n v="9.6666666666666661"/>
  </r>
  <r>
    <s v="B-25976"/>
    <x v="242"/>
    <x v="310"/>
    <x v="11"/>
    <x v="23"/>
    <n v="193"/>
    <n v="8"/>
    <n v="4"/>
    <x v="1"/>
    <x v="3"/>
    <x v="0"/>
    <n v="48.25"/>
  </r>
  <r>
    <s v="B-25977"/>
    <x v="243"/>
    <x v="79"/>
    <x v="0"/>
    <x v="20"/>
    <n v="27"/>
    <n v="1"/>
    <n v="1"/>
    <x v="1"/>
    <x v="10"/>
    <x v="0"/>
    <n v="27"/>
  </r>
  <r>
    <s v="B-25978"/>
    <x v="243"/>
    <x v="311"/>
    <x v="1"/>
    <x v="17"/>
    <n v="341"/>
    <n v="160"/>
    <n v="7"/>
    <x v="1"/>
    <x v="10"/>
    <x v="4"/>
    <n v="48.714285714285715"/>
  </r>
  <r>
    <s v="B-25979"/>
    <x v="243"/>
    <x v="166"/>
    <x v="2"/>
    <x v="18"/>
    <n v="284"/>
    <n v="45"/>
    <n v="2"/>
    <x v="2"/>
    <x v="13"/>
    <x v="3"/>
    <n v="142"/>
  </r>
  <r>
    <s v="B-25980"/>
    <x v="243"/>
    <x v="101"/>
    <x v="3"/>
    <x v="21"/>
    <n v="22"/>
    <n v="11"/>
    <n v="3"/>
    <x v="1"/>
    <x v="16"/>
    <x v="2"/>
    <n v="7.333333333333333"/>
  </r>
  <r>
    <s v="B-25981"/>
    <x v="244"/>
    <x v="312"/>
    <x v="18"/>
    <x v="24"/>
    <n v="867"/>
    <n v="251"/>
    <n v="5"/>
    <x v="0"/>
    <x v="1"/>
    <x v="2"/>
    <n v="173.4"/>
  </r>
  <r>
    <s v="B-25982"/>
    <x v="245"/>
    <x v="313"/>
    <x v="18"/>
    <x v="24"/>
    <n v="13"/>
    <n v="3"/>
    <n v="1"/>
    <x v="1"/>
    <x v="6"/>
    <x v="2"/>
    <n v="13"/>
  </r>
  <r>
    <s v="B-25983"/>
    <x v="246"/>
    <x v="314"/>
    <x v="18"/>
    <x v="24"/>
    <n v="561"/>
    <n v="118"/>
    <n v="5"/>
    <x v="2"/>
    <x v="13"/>
    <x v="1"/>
    <n v="112.2"/>
  </r>
  <r>
    <s v="B-25984"/>
    <x v="246"/>
    <x v="267"/>
    <x v="18"/>
    <x v="24"/>
    <n v="304"/>
    <n v="97"/>
    <n v="6"/>
    <x v="1"/>
    <x v="10"/>
    <x v="0"/>
    <n v="50.666666666666664"/>
  </r>
  <r>
    <s v="B-25985"/>
    <x v="247"/>
    <x v="315"/>
    <x v="2"/>
    <x v="18"/>
    <n v="32"/>
    <n v="8"/>
    <n v="5"/>
    <x v="1"/>
    <x v="2"/>
    <x v="0"/>
    <n v="6.4"/>
  </r>
  <r>
    <s v="B-25986"/>
    <x v="247"/>
    <x v="101"/>
    <x v="3"/>
    <x v="21"/>
    <n v="749"/>
    <n v="-307"/>
    <n v="7"/>
    <x v="2"/>
    <x v="11"/>
    <x v="2"/>
    <n v="107"/>
  </r>
  <r>
    <s v="B-25987"/>
    <x v="247"/>
    <x v="316"/>
    <x v="18"/>
    <x v="24"/>
    <n v="299"/>
    <n v="0"/>
    <n v="6"/>
    <x v="1"/>
    <x v="10"/>
    <x v="2"/>
    <n v="49.833333333333336"/>
  </r>
  <r>
    <s v="B-25988"/>
    <x v="247"/>
    <x v="317"/>
    <x v="18"/>
    <x v="24"/>
    <n v="79"/>
    <n v="-124"/>
    <n v="9"/>
    <x v="1"/>
    <x v="15"/>
    <x v="2"/>
    <n v="8.7777777777777786"/>
  </r>
  <r>
    <s v="B-25989"/>
    <x v="248"/>
    <x v="66"/>
    <x v="18"/>
    <x v="24"/>
    <n v="42"/>
    <n v="15"/>
    <n v="1"/>
    <x v="0"/>
    <x v="14"/>
    <x v="0"/>
    <n v="42"/>
  </r>
  <r>
    <s v="B-25990"/>
    <x v="249"/>
    <x v="318"/>
    <x v="18"/>
    <x v="24"/>
    <n v="71"/>
    <n v="32"/>
    <n v="3"/>
    <x v="1"/>
    <x v="4"/>
    <x v="4"/>
    <n v="23.666666666666668"/>
  </r>
  <r>
    <s v="B-25991"/>
    <x v="250"/>
    <x v="319"/>
    <x v="2"/>
    <x v="18"/>
    <n v="13"/>
    <n v="5"/>
    <n v="2"/>
    <x v="1"/>
    <x v="2"/>
    <x v="0"/>
    <n v="6.5"/>
  </r>
  <r>
    <s v="B-25992"/>
    <x v="250"/>
    <x v="224"/>
    <x v="3"/>
    <x v="21"/>
    <n v="141"/>
    <n v="41"/>
    <n v="3"/>
    <x v="1"/>
    <x v="5"/>
    <x v="0"/>
    <n v="47"/>
  </r>
  <r>
    <s v="B-25993"/>
    <x v="250"/>
    <x v="149"/>
    <x v="18"/>
    <x v="24"/>
    <n v="610"/>
    <n v="208"/>
    <n v="3"/>
    <x v="0"/>
    <x v="9"/>
    <x v="2"/>
    <n v="203.33333333333334"/>
  </r>
  <r>
    <s v="B-25994"/>
    <x v="250"/>
    <x v="320"/>
    <x v="18"/>
    <x v="24"/>
    <n v="196"/>
    <n v="-7"/>
    <n v="5"/>
    <x v="0"/>
    <x v="1"/>
    <x v="2"/>
    <n v="39.200000000000003"/>
  </r>
  <r>
    <s v="B-25995"/>
    <x v="251"/>
    <x v="321"/>
    <x v="18"/>
    <x v="24"/>
    <n v="1314"/>
    <n v="342"/>
    <n v="3"/>
    <x v="2"/>
    <x v="13"/>
    <x v="1"/>
    <n v="438"/>
  </r>
  <r>
    <s v="B-25996"/>
    <x v="251"/>
    <x v="322"/>
    <x v="18"/>
    <x v="24"/>
    <n v="31"/>
    <n v="2"/>
    <n v="2"/>
    <x v="1"/>
    <x v="2"/>
    <x v="2"/>
    <n v="15.5"/>
  </r>
  <r>
    <s v="B-25997"/>
    <x v="251"/>
    <x v="9"/>
    <x v="1"/>
    <x v="1"/>
    <n v="231"/>
    <n v="99"/>
    <n v="2"/>
    <x v="0"/>
    <x v="0"/>
    <x v="1"/>
    <n v="115.5"/>
  </r>
  <r>
    <s v="B-25998"/>
    <x v="251"/>
    <x v="323"/>
    <x v="3"/>
    <x v="21"/>
    <n v="50"/>
    <n v="-28"/>
    <n v="5"/>
    <x v="2"/>
    <x v="11"/>
    <x v="2"/>
    <n v="10"/>
  </r>
  <r>
    <s v="B-25999"/>
    <x v="252"/>
    <x v="324"/>
    <x v="18"/>
    <x v="24"/>
    <n v="223"/>
    <n v="62"/>
    <n v="7"/>
    <x v="1"/>
    <x v="5"/>
    <x v="2"/>
    <n v="31.857142857142858"/>
  </r>
  <r>
    <s v="B-26000"/>
    <x v="253"/>
    <x v="130"/>
    <x v="18"/>
    <x v="24"/>
    <n v="676"/>
    <n v="151"/>
    <n v="3"/>
    <x v="0"/>
    <x v="9"/>
    <x v="1"/>
    <n v="225.33333333333334"/>
  </r>
  <r>
    <s v="B-26001"/>
    <x v="254"/>
    <x v="325"/>
    <x v="18"/>
    <x v="24"/>
    <n v="8"/>
    <n v="2"/>
    <n v="2"/>
    <x v="1"/>
    <x v="15"/>
    <x v="0"/>
    <n v="4"/>
  </r>
  <r>
    <s v="B-26002"/>
    <x v="255"/>
    <x v="140"/>
    <x v="18"/>
    <x v="24"/>
    <n v="276"/>
    <n v="52"/>
    <n v="5"/>
    <x v="1"/>
    <x v="4"/>
    <x v="3"/>
    <n v="55.2"/>
  </r>
  <r>
    <s v="B-26003"/>
    <x v="255"/>
    <x v="326"/>
    <x v="2"/>
    <x v="2"/>
    <n v="1745"/>
    <n v="122"/>
    <n v="2"/>
    <x v="2"/>
    <x v="7"/>
    <x v="1"/>
    <n v="872.5"/>
  </r>
  <r>
    <s v="B-26004"/>
    <x v="255"/>
    <x v="327"/>
    <x v="3"/>
    <x v="3"/>
    <n v="162"/>
    <n v="73"/>
    <n v="2"/>
    <x v="0"/>
    <x v="0"/>
    <x v="2"/>
    <n v="81"/>
  </r>
  <r>
    <s v="B-26005"/>
    <x v="255"/>
    <x v="328"/>
    <x v="4"/>
    <x v="4"/>
    <n v="87"/>
    <n v="10"/>
    <n v="3"/>
    <x v="1"/>
    <x v="10"/>
    <x v="2"/>
    <n v="29"/>
  </r>
  <r>
    <s v="B-26006"/>
    <x v="256"/>
    <x v="329"/>
    <x v="5"/>
    <x v="5"/>
    <n v="1301"/>
    <n v="573"/>
    <n v="5"/>
    <x v="0"/>
    <x v="14"/>
    <x v="1"/>
    <n v="260.2"/>
  </r>
  <r>
    <s v="B-26007"/>
    <x v="256"/>
    <x v="130"/>
    <x v="6"/>
    <x v="6"/>
    <n v="311"/>
    <n v="72"/>
    <n v="2"/>
    <x v="2"/>
    <x v="13"/>
    <x v="2"/>
    <n v="155.5"/>
  </r>
  <r>
    <s v="B-26008"/>
    <x v="256"/>
    <x v="330"/>
    <x v="7"/>
    <x v="7"/>
    <n v="206"/>
    <n v="51"/>
    <n v="4"/>
    <x v="1"/>
    <x v="2"/>
    <x v="1"/>
    <n v="51.5"/>
  </r>
  <r>
    <s v="B-26009"/>
    <x v="257"/>
    <x v="234"/>
    <x v="8"/>
    <x v="8"/>
    <n v="285"/>
    <n v="128"/>
    <n v="2"/>
    <x v="0"/>
    <x v="9"/>
    <x v="2"/>
    <n v="142.5"/>
  </r>
  <r>
    <s v="B-26010"/>
    <x v="258"/>
    <x v="331"/>
    <x v="9"/>
    <x v="9"/>
    <n v="55"/>
    <n v="3"/>
    <n v="3"/>
    <x v="1"/>
    <x v="3"/>
    <x v="2"/>
    <n v="18.333333333333332"/>
  </r>
  <r>
    <s v="B-26011"/>
    <x v="259"/>
    <x v="0"/>
    <x v="0"/>
    <x v="0"/>
    <n v="93"/>
    <n v="44"/>
    <n v="2"/>
    <x v="1"/>
    <x v="10"/>
    <x v="1"/>
    <n v="46.5"/>
  </r>
  <r>
    <s v="B-26012"/>
    <x v="260"/>
    <x v="332"/>
    <x v="1"/>
    <x v="1"/>
    <n v="199"/>
    <n v="8"/>
    <n v="2"/>
    <x v="1"/>
    <x v="4"/>
    <x v="2"/>
    <n v="99.5"/>
  </r>
  <r>
    <s v="B-26013"/>
    <x v="260"/>
    <x v="2"/>
    <x v="2"/>
    <x v="2"/>
    <n v="29"/>
    <n v="-10"/>
    <n v="3"/>
    <x v="1"/>
    <x v="15"/>
    <x v="2"/>
    <n v="9.6666666666666661"/>
  </r>
  <r>
    <s v="B-26014"/>
    <x v="260"/>
    <x v="3"/>
    <x v="3"/>
    <x v="3"/>
    <n v="406"/>
    <n v="97"/>
    <n v="7"/>
    <x v="2"/>
    <x v="8"/>
    <x v="1"/>
    <n v="58"/>
  </r>
  <r>
    <s v="B-26015"/>
    <x v="261"/>
    <x v="4"/>
    <x v="4"/>
    <x v="4"/>
    <n v="128"/>
    <n v="55"/>
    <n v="1"/>
    <x v="1"/>
    <x v="4"/>
    <x v="2"/>
    <n v="128"/>
  </r>
  <r>
    <s v="B-26016"/>
    <x v="261"/>
    <x v="5"/>
    <x v="5"/>
    <x v="5"/>
    <n v="202"/>
    <n v="4"/>
    <n v="4"/>
    <x v="1"/>
    <x v="2"/>
    <x v="2"/>
    <n v="50.5"/>
  </r>
  <r>
    <s v="B-26017"/>
    <x v="261"/>
    <x v="6"/>
    <x v="6"/>
    <x v="6"/>
    <n v="78"/>
    <n v="7"/>
    <n v="1"/>
    <x v="2"/>
    <x v="8"/>
    <x v="2"/>
    <n v="78"/>
  </r>
  <r>
    <s v="B-26018"/>
    <x v="261"/>
    <x v="7"/>
    <x v="7"/>
    <x v="7"/>
    <n v="61"/>
    <n v="8"/>
    <n v="4"/>
    <x v="1"/>
    <x v="2"/>
    <x v="4"/>
    <n v="15.25"/>
  </r>
  <r>
    <s v="B-26019"/>
    <x v="262"/>
    <x v="8"/>
    <x v="8"/>
    <x v="8"/>
    <n v="585"/>
    <n v="175"/>
    <n v="13"/>
    <x v="1"/>
    <x v="3"/>
    <x v="2"/>
    <n v="45"/>
  </r>
  <r>
    <s v="B-26020"/>
    <x v="263"/>
    <x v="9"/>
    <x v="9"/>
    <x v="9"/>
    <n v="319"/>
    <n v="102"/>
    <n v="6"/>
    <x v="0"/>
    <x v="14"/>
    <x v="1"/>
    <n v="53.166666666666664"/>
  </r>
  <r>
    <s v="B-26021"/>
    <x v="264"/>
    <x v="10"/>
    <x v="10"/>
    <x v="10"/>
    <n v="21"/>
    <n v="-12"/>
    <n v="3"/>
    <x v="1"/>
    <x v="2"/>
    <x v="4"/>
    <n v="7"/>
  </r>
  <r>
    <s v="B-26022"/>
    <x v="265"/>
    <x v="11"/>
    <x v="11"/>
    <x v="11"/>
    <n v="1824"/>
    <n v="1303"/>
    <n v="8"/>
    <x v="0"/>
    <x v="1"/>
    <x v="1"/>
    <n v="228"/>
  </r>
  <r>
    <s v="B-26023"/>
    <x v="266"/>
    <x v="333"/>
    <x v="12"/>
    <x v="11"/>
    <n v="66"/>
    <n v="22"/>
    <n v="3"/>
    <x v="1"/>
    <x v="10"/>
    <x v="0"/>
    <n v="22"/>
  </r>
  <r>
    <s v="B-26024"/>
    <x v="266"/>
    <x v="13"/>
    <x v="13"/>
    <x v="12"/>
    <n v="168"/>
    <n v="18"/>
    <n v="6"/>
    <x v="1"/>
    <x v="10"/>
    <x v="4"/>
    <n v="28"/>
  </r>
  <r>
    <s v="B-26025"/>
    <x v="266"/>
    <x v="14"/>
    <x v="14"/>
    <x v="13"/>
    <n v="41"/>
    <n v="19"/>
    <n v="5"/>
    <x v="1"/>
    <x v="2"/>
    <x v="4"/>
    <n v="8.1999999999999993"/>
  </r>
  <r>
    <s v="B-26026"/>
    <x v="266"/>
    <x v="15"/>
    <x v="15"/>
    <x v="14"/>
    <n v="255"/>
    <n v="76"/>
    <n v="9"/>
    <x v="1"/>
    <x v="2"/>
    <x v="2"/>
    <n v="28.333333333333332"/>
  </r>
  <r>
    <s v="B-26027"/>
    <x v="267"/>
    <x v="16"/>
    <x v="16"/>
    <x v="15"/>
    <n v="54"/>
    <n v="8"/>
    <n v="4"/>
    <x v="1"/>
    <x v="3"/>
    <x v="2"/>
    <n v="13.5"/>
  </r>
  <r>
    <s v="B-26028"/>
    <x v="267"/>
    <x v="17"/>
    <x v="17"/>
    <x v="16"/>
    <n v="1272"/>
    <n v="547"/>
    <n v="2"/>
    <x v="0"/>
    <x v="1"/>
    <x v="2"/>
    <n v="636"/>
  </r>
  <r>
    <s v="B-26029"/>
    <x v="267"/>
    <x v="18"/>
    <x v="0"/>
    <x v="0"/>
    <n v="21"/>
    <n v="10"/>
    <n v="1"/>
    <x v="1"/>
    <x v="3"/>
    <x v="4"/>
    <n v="21"/>
  </r>
  <r>
    <s v="B-26030"/>
    <x v="268"/>
    <x v="19"/>
    <x v="1"/>
    <x v="1"/>
    <n v="291"/>
    <n v="93"/>
    <n v="2"/>
    <x v="0"/>
    <x v="9"/>
    <x v="2"/>
    <n v="145.5"/>
  </r>
  <r>
    <s v="B-26031"/>
    <x v="269"/>
    <x v="20"/>
    <x v="2"/>
    <x v="2"/>
    <n v="67"/>
    <n v="9"/>
    <n v="4"/>
    <x v="1"/>
    <x v="6"/>
    <x v="4"/>
    <n v="16.75"/>
  </r>
  <r>
    <s v="B-26032"/>
    <x v="269"/>
    <x v="21"/>
    <x v="3"/>
    <x v="3"/>
    <n v="47"/>
    <n v="15"/>
    <n v="5"/>
    <x v="1"/>
    <x v="4"/>
    <x v="4"/>
    <n v="9.4"/>
  </r>
  <r>
    <s v="B-26033"/>
    <x v="269"/>
    <x v="22"/>
    <x v="4"/>
    <x v="4"/>
    <n v="774"/>
    <n v="170"/>
    <n v="3"/>
    <x v="0"/>
    <x v="14"/>
    <x v="2"/>
    <n v="258"/>
  </r>
  <r>
    <s v="B-26034"/>
    <x v="270"/>
    <x v="23"/>
    <x v="5"/>
    <x v="5"/>
    <n v="425"/>
    <n v="183"/>
    <n v="5"/>
    <x v="0"/>
    <x v="14"/>
    <x v="0"/>
    <n v="85"/>
  </r>
  <r>
    <s v="B-26035"/>
    <x v="270"/>
    <x v="24"/>
    <x v="6"/>
    <x v="6"/>
    <n v="520"/>
    <n v="151"/>
    <n v="3"/>
    <x v="0"/>
    <x v="1"/>
    <x v="1"/>
    <n v="173.33333333333334"/>
  </r>
  <r>
    <s v="B-26036"/>
    <x v="270"/>
    <x v="25"/>
    <x v="1"/>
    <x v="17"/>
    <n v="341"/>
    <n v="44"/>
    <n v="7"/>
    <x v="2"/>
    <x v="11"/>
    <x v="0"/>
    <n v="48.714285714285715"/>
  </r>
  <r>
    <s v="B-26037"/>
    <x v="270"/>
    <x v="26"/>
    <x v="2"/>
    <x v="18"/>
    <n v="171"/>
    <n v="68"/>
    <n v="7"/>
    <x v="1"/>
    <x v="10"/>
    <x v="3"/>
    <n v="24.428571428571427"/>
  </r>
  <r>
    <s v="B-26038"/>
    <x v="271"/>
    <x v="27"/>
    <x v="9"/>
    <x v="9"/>
    <n v="41"/>
    <n v="19"/>
    <n v="2"/>
    <x v="1"/>
    <x v="3"/>
    <x v="4"/>
    <n v="20.5"/>
  </r>
  <r>
    <s v="B-26039"/>
    <x v="272"/>
    <x v="28"/>
    <x v="10"/>
    <x v="10"/>
    <n v="83"/>
    <n v="34"/>
    <n v="5"/>
    <x v="1"/>
    <x v="5"/>
    <x v="4"/>
    <n v="16.600000000000001"/>
  </r>
  <r>
    <s v="B-26040"/>
    <x v="273"/>
    <x v="29"/>
    <x v="11"/>
    <x v="11"/>
    <n v="38"/>
    <n v="9"/>
    <n v="2"/>
    <x v="1"/>
    <x v="10"/>
    <x v="2"/>
    <n v="19"/>
  </r>
  <r>
    <s v="B-26041"/>
    <x v="274"/>
    <x v="30"/>
    <x v="12"/>
    <x v="11"/>
    <n v="176"/>
    <n v="-28"/>
    <n v="5"/>
    <x v="2"/>
    <x v="11"/>
    <x v="2"/>
    <n v="35.200000000000003"/>
  </r>
  <r>
    <s v="B-26042"/>
    <x v="275"/>
    <x v="31"/>
    <x v="13"/>
    <x v="12"/>
    <n v="36"/>
    <n v="15"/>
    <n v="3"/>
    <x v="1"/>
    <x v="10"/>
    <x v="0"/>
    <n v="12"/>
  </r>
  <r>
    <s v="B-26043"/>
    <x v="276"/>
    <x v="32"/>
    <x v="14"/>
    <x v="13"/>
    <n v="79"/>
    <n v="5"/>
    <n v="6"/>
    <x v="1"/>
    <x v="2"/>
    <x v="4"/>
    <n v="13.166666666666666"/>
  </r>
  <r>
    <s v="B-26044"/>
    <x v="277"/>
    <x v="33"/>
    <x v="15"/>
    <x v="14"/>
    <n v="28"/>
    <n v="-10"/>
    <n v="3"/>
    <x v="1"/>
    <x v="15"/>
    <x v="2"/>
    <n v="9.3333333333333339"/>
  </r>
  <r>
    <s v="B-26045"/>
    <x v="278"/>
    <x v="34"/>
    <x v="16"/>
    <x v="15"/>
    <n v="376"/>
    <n v="0"/>
    <n v="7"/>
    <x v="1"/>
    <x v="10"/>
    <x v="1"/>
    <n v="53.714285714285715"/>
  </r>
  <r>
    <s v="B-26046"/>
    <x v="279"/>
    <x v="35"/>
    <x v="1"/>
    <x v="17"/>
    <n v="32"/>
    <n v="3"/>
    <n v="8"/>
    <x v="1"/>
    <x v="2"/>
    <x v="2"/>
    <n v="4"/>
  </r>
  <r>
    <s v="B-26047"/>
    <x v="279"/>
    <x v="36"/>
    <x v="2"/>
    <x v="18"/>
    <n v="55"/>
    <n v="12"/>
    <n v="5"/>
    <x v="1"/>
    <x v="15"/>
    <x v="2"/>
    <n v="11"/>
  </r>
  <r>
    <s v="B-26048"/>
    <x v="279"/>
    <x v="37"/>
    <x v="1"/>
    <x v="1"/>
    <n v="1461"/>
    <n v="202"/>
    <n v="5"/>
    <x v="2"/>
    <x v="7"/>
    <x v="3"/>
    <n v="292.2"/>
  </r>
  <r>
    <s v="B-26049"/>
    <x v="280"/>
    <x v="38"/>
    <x v="2"/>
    <x v="2"/>
    <n v="100"/>
    <n v="28"/>
    <n v="2"/>
    <x v="1"/>
    <x v="2"/>
    <x v="0"/>
    <n v="50"/>
  </r>
  <r>
    <s v="B-26050"/>
    <x v="281"/>
    <x v="39"/>
    <x v="3"/>
    <x v="3"/>
    <n v="32"/>
    <n v="6"/>
    <n v="3"/>
    <x v="1"/>
    <x v="5"/>
    <x v="0"/>
    <n v="10.666666666666666"/>
  </r>
  <r>
    <s v="B-26051"/>
    <x v="282"/>
    <x v="40"/>
    <x v="4"/>
    <x v="4"/>
    <n v="1337"/>
    <n v="147"/>
    <n v="7"/>
    <x v="0"/>
    <x v="9"/>
    <x v="1"/>
    <n v="191"/>
  </r>
  <r>
    <s v="B-26052"/>
    <x v="283"/>
    <x v="41"/>
    <x v="5"/>
    <x v="5"/>
    <n v="774"/>
    <n v="170"/>
    <n v="3"/>
    <x v="0"/>
    <x v="14"/>
    <x v="2"/>
    <n v="258"/>
  </r>
  <r>
    <s v="B-26053"/>
    <x v="284"/>
    <x v="42"/>
    <x v="6"/>
    <x v="6"/>
    <n v="594"/>
    <n v="89"/>
    <n v="3"/>
    <x v="2"/>
    <x v="13"/>
    <x v="2"/>
    <n v="198"/>
  </r>
  <r>
    <s v="B-26054"/>
    <x v="285"/>
    <x v="43"/>
    <x v="1"/>
    <x v="17"/>
    <n v="246"/>
    <n v="98"/>
    <n v="5"/>
    <x v="1"/>
    <x v="2"/>
    <x v="2"/>
    <n v="49.2"/>
  </r>
  <r>
    <s v="B-26055"/>
    <x v="285"/>
    <x v="334"/>
    <x v="8"/>
    <x v="19"/>
    <n v="5729"/>
    <n v="64"/>
    <n v="14"/>
    <x v="2"/>
    <x v="8"/>
    <x v="3"/>
    <n v="409.21428571428572"/>
  </r>
  <r>
    <s v="B-26056"/>
    <x v="285"/>
    <x v="45"/>
    <x v="9"/>
    <x v="9"/>
    <n v="424"/>
    <n v="161"/>
    <n v="2"/>
    <x v="1"/>
    <x v="4"/>
    <x v="2"/>
    <n v="212"/>
  </r>
  <r>
    <s v="B-26057"/>
    <x v="285"/>
    <x v="46"/>
    <x v="10"/>
    <x v="10"/>
    <n v="659"/>
    <n v="-37"/>
    <n v="2"/>
    <x v="2"/>
    <x v="13"/>
    <x v="1"/>
    <n v="329.5"/>
  </r>
  <r>
    <s v="B-26058"/>
    <x v="286"/>
    <x v="47"/>
    <x v="11"/>
    <x v="11"/>
    <n v="212"/>
    <n v="97"/>
    <n v="7"/>
    <x v="1"/>
    <x v="2"/>
    <x v="2"/>
    <n v="30.285714285714285"/>
  </r>
  <r>
    <s v="B-26059"/>
    <x v="287"/>
    <x v="48"/>
    <x v="12"/>
    <x v="11"/>
    <n v="20"/>
    <n v="6"/>
    <n v="1"/>
    <x v="1"/>
    <x v="3"/>
    <x v="2"/>
    <n v="20"/>
  </r>
  <r>
    <s v="B-26060"/>
    <x v="288"/>
    <x v="49"/>
    <x v="1"/>
    <x v="17"/>
    <n v="382"/>
    <n v="68"/>
    <n v="3"/>
    <x v="1"/>
    <x v="4"/>
    <x v="2"/>
    <n v="127.33333333333333"/>
  </r>
  <r>
    <s v="B-26061"/>
    <x v="289"/>
    <x v="50"/>
    <x v="2"/>
    <x v="18"/>
    <n v="965"/>
    <n v="-68"/>
    <n v="3"/>
    <x v="0"/>
    <x v="9"/>
    <x v="2"/>
    <n v="321.66666666666669"/>
  </r>
  <r>
    <s v="B-26062"/>
    <x v="290"/>
    <x v="51"/>
    <x v="15"/>
    <x v="14"/>
    <n v="44"/>
    <n v="-40"/>
    <n v="3"/>
    <x v="1"/>
    <x v="10"/>
    <x v="2"/>
    <n v="14.666666666666666"/>
  </r>
  <r>
    <s v="B-26063"/>
    <x v="290"/>
    <x v="52"/>
    <x v="16"/>
    <x v="15"/>
    <n v="241"/>
    <n v="-77"/>
    <n v="4"/>
    <x v="0"/>
    <x v="0"/>
    <x v="2"/>
    <n v="60.25"/>
  </r>
  <r>
    <s v="B-26064"/>
    <x v="291"/>
    <x v="335"/>
    <x v="1"/>
    <x v="17"/>
    <n v="61"/>
    <n v="3"/>
    <n v="4"/>
    <x v="1"/>
    <x v="2"/>
    <x v="2"/>
    <n v="15.25"/>
  </r>
  <r>
    <s v="B-26065"/>
    <x v="291"/>
    <x v="54"/>
    <x v="2"/>
    <x v="18"/>
    <n v="146"/>
    <n v="19"/>
    <n v="5"/>
    <x v="1"/>
    <x v="10"/>
    <x v="2"/>
    <n v="29.2"/>
  </r>
  <r>
    <s v="B-26066"/>
    <x v="291"/>
    <x v="55"/>
    <x v="1"/>
    <x v="1"/>
    <n v="86"/>
    <n v="22"/>
    <n v="2"/>
    <x v="1"/>
    <x v="4"/>
    <x v="4"/>
    <n v="43"/>
  </r>
  <r>
    <s v="B-26067"/>
    <x v="291"/>
    <x v="56"/>
    <x v="2"/>
    <x v="2"/>
    <n v="1137"/>
    <n v="-14"/>
    <n v="7"/>
    <x v="0"/>
    <x v="9"/>
    <x v="3"/>
    <n v="162.42857142857142"/>
  </r>
  <r>
    <s v="B-26068"/>
    <x v="291"/>
    <x v="57"/>
    <x v="3"/>
    <x v="3"/>
    <n v="193"/>
    <n v="33"/>
    <n v="5"/>
    <x v="0"/>
    <x v="14"/>
    <x v="2"/>
    <n v="38.6"/>
  </r>
  <r>
    <s v="B-26069"/>
    <x v="292"/>
    <x v="58"/>
    <x v="4"/>
    <x v="4"/>
    <n v="55"/>
    <n v="18"/>
    <n v="2"/>
    <x v="1"/>
    <x v="16"/>
    <x v="2"/>
    <n v="27.5"/>
  </r>
  <r>
    <s v="B-26070"/>
    <x v="293"/>
    <x v="59"/>
    <x v="5"/>
    <x v="5"/>
    <n v="582"/>
    <n v="262"/>
    <n v="5"/>
    <x v="2"/>
    <x v="11"/>
    <x v="2"/>
    <n v="116.4"/>
  </r>
  <r>
    <s v="B-26071"/>
    <x v="294"/>
    <x v="60"/>
    <x v="6"/>
    <x v="6"/>
    <n v="21"/>
    <n v="4"/>
    <n v="3"/>
    <x v="1"/>
    <x v="2"/>
    <x v="1"/>
    <n v="7"/>
  </r>
  <r>
    <s v="B-26072"/>
    <x v="295"/>
    <x v="61"/>
    <x v="1"/>
    <x v="17"/>
    <n v="313"/>
    <n v="44"/>
    <n v="3"/>
    <x v="0"/>
    <x v="0"/>
    <x v="2"/>
    <n v="104.33333333333333"/>
  </r>
  <r>
    <s v="B-26073"/>
    <x v="296"/>
    <x v="62"/>
    <x v="2"/>
    <x v="18"/>
    <n v="37"/>
    <n v="17"/>
    <n v="3"/>
    <x v="1"/>
    <x v="2"/>
    <x v="4"/>
    <n v="12.333333333333334"/>
  </r>
  <r>
    <s v="B-26074"/>
    <x v="296"/>
    <x v="0"/>
    <x v="0"/>
    <x v="0"/>
    <n v="57"/>
    <n v="21"/>
    <n v="4"/>
    <x v="1"/>
    <x v="6"/>
    <x v="2"/>
    <n v="14.25"/>
  </r>
  <r>
    <s v="B-26075"/>
    <x v="296"/>
    <x v="332"/>
    <x v="1"/>
    <x v="1"/>
    <n v="34"/>
    <n v="12"/>
    <n v="2"/>
    <x v="1"/>
    <x v="10"/>
    <x v="2"/>
    <n v="17"/>
  </r>
  <r>
    <s v="B-26076"/>
    <x v="296"/>
    <x v="2"/>
    <x v="2"/>
    <x v="2"/>
    <n v="219"/>
    <n v="4"/>
    <n v="2"/>
    <x v="1"/>
    <x v="4"/>
    <x v="2"/>
    <n v="109.5"/>
  </r>
  <r>
    <s v="B-26077"/>
    <x v="297"/>
    <x v="3"/>
    <x v="3"/>
    <x v="3"/>
    <n v="62"/>
    <n v="11"/>
    <n v="7"/>
    <x v="1"/>
    <x v="2"/>
    <x v="0"/>
    <n v="8.8571428571428577"/>
  </r>
  <r>
    <s v="B-26078"/>
    <x v="297"/>
    <x v="4"/>
    <x v="4"/>
    <x v="4"/>
    <n v="557"/>
    <n v="-111"/>
    <n v="2"/>
    <x v="0"/>
    <x v="0"/>
    <x v="2"/>
    <n v="278.5"/>
  </r>
  <r>
    <s v="B-26079"/>
    <x v="297"/>
    <x v="5"/>
    <x v="5"/>
    <x v="5"/>
    <n v="18"/>
    <n v="3"/>
    <n v="2"/>
    <x v="1"/>
    <x v="2"/>
    <x v="4"/>
    <n v="9"/>
  </r>
  <r>
    <s v="B-26080"/>
    <x v="297"/>
    <x v="6"/>
    <x v="6"/>
    <x v="6"/>
    <n v="109"/>
    <n v="35"/>
    <n v="6"/>
    <x v="1"/>
    <x v="3"/>
    <x v="2"/>
    <n v="18.166666666666668"/>
  </r>
  <r>
    <s v="B-26081"/>
    <x v="297"/>
    <x v="7"/>
    <x v="7"/>
    <x v="7"/>
    <n v="24"/>
    <n v="11"/>
    <n v="3"/>
    <x v="1"/>
    <x v="2"/>
    <x v="4"/>
    <n v="8"/>
  </r>
  <r>
    <s v="B-26082"/>
    <x v="298"/>
    <x v="8"/>
    <x v="8"/>
    <x v="8"/>
    <n v="95"/>
    <n v="5"/>
    <n v="2"/>
    <x v="1"/>
    <x v="10"/>
    <x v="0"/>
    <n v="47.5"/>
  </r>
  <r>
    <s v="B-26083"/>
    <x v="299"/>
    <x v="9"/>
    <x v="9"/>
    <x v="9"/>
    <n v="43"/>
    <n v="8"/>
    <n v="3"/>
    <x v="1"/>
    <x v="6"/>
    <x v="2"/>
    <n v="14.333333333333334"/>
  </r>
  <r>
    <s v="B-26084"/>
    <x v="300"/>
    <x v="10"/>
    <x v="10"/>
    <x v="10"/>
    <n v="209"/>
    <n v="-63"/>
    <n v="4"/>
    <x v="0"/>
    <x v="0"/>
    <x v="2"/>
    <n v="52.25"/>
  </r>
  <r>
    <s v="B-26085"/>
    <x v="301"/>
    <x v="11"/>
    <x v="11"/>
    <x v="11"/>
    <n v="1487"/>
    <n v="624"/>
    <n v="3"/>
    <x v="1"/>
    <x v="12"/>
    <x v="1"/>
    <n v="495.66666666666669"/>
  </r>
  <r>
    <s v="B-26086"/>
    <x v="301"/>
    <x v="333"/>
    <x v="12"/>
    <x v="11"/>
    <n v="762"/>
    <n v="101"/>
    <n v="6"/>
    <x v="0"/>
    <x v="9"/>
    <x v="2"/>
    <n v="127"/>
  </r>
  <r>
    <s v="B-26087"/>
    <x v="301"/>
    <x v="13"/>
    <x v="13"/>
    <x v="12"/>
    <n v="180"/>
    <n v="0"/>
    <n v="8"/>
    <x v="1"/>
    <x v="10"/>
    <x v="2"/>
    <n v="22.5"/>
  </r>
  <r>
    <s v="B-26088"/>
    <x v="301"/>
    <x v="14"/>
    <x v="14"/>
    <x v="13"/>
    <n v="11"/>
    <n v="5"/>
    <n v="2"/>
    <x v="1"/>
    <x v="2"/>
    <x v="0"/>
    <n v="5.5"/>
  </r>
  <r>
    <s v="B-26089"/>
    <x v="301"/>
    <x v="15"/>
    <x v="15"/>
    <x v="14"/>
    <n v="27"/>
    <n v="4"/>
    <n v="1"/>
    <x v="1"/>
    <x v="2"/>
    <x v="2"/>
    <n v="27"/>
  </r>
  <r>
    <s v="B-26090"/>
    <x v="302"/>
    <x v="16"/>
    <x v="16"/>
    <x v="15"/>
    <n v="80"/>
    <n v="22"/>
    <n v="3"/>
    <x v="1"/>
    <x v="10"/>
    <x v="3"/>
    <n v="26.666666666666668"/>
  </r>
  <r>
    <s v="B-26091"/>
    <x v="302"/>
    <x v="17"/>
    <x v="17"/>
    <x v="16"/>
    <n v="29"/>
    <n v="10"/>
    <n v="4"/>
    <x v="1"/>
    <x v="2"/>
    <x v="0"/>
    <n v="7.25"/>
  </r>
  <r>
    <s v="B-26092"/>
    <x v="302"/>
    <x v="18"/>
    <x v="0"/>
    <x v="0"/>
    <n v="97"/>
    <n v="14"/>
    <n v="2"/>
    <x v="1"/>
    <x v="3"/>
    <x v="1"/>
    <n v="48.5"/>
  </r>
  <r>
    <s v="B-26093"/>
    <x v="302"/>
    <x v="19"/>
    <x v="1"/>
    <x v="1"/>
    <n v="2847"/>
    <n v="712"/>
    <n v="8"/>
    <x v="0"/>
    <x v="9"/>
    <x v="1"/>
    <n v="355.875"/>
  </r>
  <r>
    <s v="B-26094"/>
    <x v="302"/>
    <x v="20"/>
    <x v="2"/>
    <x v="2"/>
    <n v="152"/>
    <n v="50"/>
    <n v="6"/>
    <x v="1"/>
    <x v="10"/>
    <x v="2"/>
    <n v="25.333333333333332"/>
  </r>
  <r>
    <s v="B-26095"/>
    <x v="303"/>
    <x v="21"/>
    <x v="3"/>
    <x v="3"/>
    <n v="6"/>
    <n v="1"/>
    <n v="1"/>
    <x v="1"/>
    <x v="16"/>
    <x v="0"/>
    <n v="6"/>
  </r>
  <r>
    <s v="B-26096"/>
    <x v="303"/>
    <x v="22"/>
    <x v="4"/>
    <x v="4"/>
    <n v="451"/>
    <n v="25"/>
    <n v="3"/>
    <x v="0"/>
    <x v="1"/>
    <x v="3"/>
    <n v="150.33333333333334"/>
  </r>
  <r>
    <s v="B-26097"/>
    <x v="303"/>
    <x v="23"/>
    <x v="5"/>
    <x v="5"/>
    <n v="663"/>
    <n v="-212"/>
    <n v="5"/>
    <x v="0"/>
    <x v="9"/>
    <x v="0"/>
    <n v="132.6"/>
  </r>
  <r>
    <s v="B-26098"/>
    <x v="304"/>
    <x v="24"/>
    <x v="6"/>
    <x v="6"/>
    <n v="96"/>
    <n v="-48"/>
    <n v="5"/>
    <x v="1"/>
    <x v="6"/>
    <x v="0"/>
    <n v="19.2"/>
  </r>
  <r>
    <s v="B-26099"/>
    <x v="305"/>
    <x v="25"/>
    <x v="1"/>
    <x v="17"/>
    <n v="207"/>
    <n v="37"/>
    <n v="4"/>
    <x v="1"/>
    <x v="2"/>
    <x v="2"/>
    <n v="51.75"/>
  </r>
  <r>
    <s v="B-26100"/>
    <x v="306"/>
    <x v="26"/>
    <x v="2"/>
    <x v="18"/>
    <n v="828"/>
    <n v="230"/>
    <n v="2"/>
    <x v="2"/>
    <x v="8"/>
    <x v="2"/>
    <n v="4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6AE471-A3AF-44A3-BB2F-08E92A08F659}"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2:E28" firstHeaderRow="1" firstDataRow="1" firstDataCol="1"/>
  <pivotFields count="16">
    <pivotField showAll="0"/>
    <pivotField numFmtId="14" showAll="0">
      <items count="30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t="default"/>
      </items>
    </pivotField>
    <pivotField showAll="0"/>
    <pivotField showAll="0">
      <items count="20">
        <item x="17"/>
        <item x="9"/>
        <item x="18"/>
        <item x="15"/>
        <item x="0"/>
        <item x="12"/>
        <item x="13"/>
        <item x="6"/>
        <item x="5"/>
        <item x="10"/>
        <item x="2"/>
        <item x="1"/>
        <item x="16"/>
        <item x="11"/>
        <item x="3"/>
        <item x="14"/>
        <item x="7"/>
        <item x="8"/>
        <item x="4"/>
        <item t="default"/>
      </items>
    </pivotField>
    <pivotField axis="axisRow" showAll="0" measureFilter="1">
      <items count="26">
        <item x="0"/>
        <item x="23"/>
        <item x="5"/>
        <item x="2"/>
        <item x="11"/>
        <item x="7"/>
        <item x="24"/>
        <item x="13"/>
        <item x="14"/>
        <item x="16"/>
        <item x="18"/>
        <item x="3"/>
        <item x="6"/>
        <item x="15"/>
        <item x="4"/>
        <item x="8"/>
        <item x="19"/>
        <item x="17"/>
        <item x="9"/>
        <item x="22"/>
        <item x="1"/>
        <item x="12"/>
        <item x="20"/>
        <item x="10"/>
        <item x="21"/>
        <item t="default"/>
      </items>
    </pivotField>
    <pivotField dataField="1" showAll="0"/>
    <pivotField showAll="0"/>
    <pivotField showAll="0"/>
    <pivotField showAll="0"/>
    <pivotField showAll="0"/>
    <pivotField showAll="0"/>
    <pivotField showAll="0"/>
    <pivotField showAll="0" defaultSubtotal="0"/>
    <pivotField showAll="0" defaultSubtotal="0">
      <items count="6">
        <item h="1" x="0"/>
        <item x="1"/>
        <item h="1" x="2"/>
        <item h="1" x="3"/>
        <item h="1" x="4"/>
        <item h="1" x="5"/>
      </items>
    </pivotField>
    <pivotField dragToRow="0" dragToCol="0" dragToPage="0" showAll="0" defaultSubtotal="0"/>
    <pivotField dragToRow="0" dragToCol="0" dragToPage="0" showAll="0" defaultSubtotal="0"/>
  </pivotFields>
  <rowFields count="1">
    <field x="4"/>
  </rowFields>
  <rowItems count="6">
    <i>
      <x v="4"/>
    </i>
    <i>
      <x v="6"/>
    </i>
    <i>
      <x v="10"/>
    </i>
    <i>
      <x v="16"/>
    </i>
    <i>
      <x v="20"/>
    </i>
    <i t="grand">
      <x/>
    </i>
  </rowItems>
  <colItems count="1">
    <i/>
  </colItems>
  <dataFields count="1">
    <dataField name="Sum of Amount" fld="5" baseField="4" baseItem="0" numFmtId="164"/>
  </dataFields>
  <chartFormats count="6">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4" count="1" selected="0">
            <x v="4"/>
          </reference>
        </references>
      </pivotArea>
    </chartFormat>
    <chartFormat chart="3" format="14">
      <pivotArea type="data" outline="0" fieldPosition="0">
        <references count="2">
          <reference field="4294967294" count="1" selected="0">
            <x v="0"/>
          </reference>
          <reference field="4" count="1" selected="0">
            <x v="10"/>
          </reference>
        </references>
      </pivotArea>
    </chartFormat>
    <chartFormat chart="3" format="15">
      <pivotArea type="data" outline="0" fieldPosition="0">
        <references count="2">
          <reference field="4294967294" count="1" selected="0">
            <x v="0"/>
          </reference>
          <reference field="4" count="1" selected="0">
            <x v="16"/>
          </reference>
        </references>
      </pivotArea>
    </chartFormat>
    <chartFormat chart="3" format="16">
      <pivotArea type="data" outline="0" fieldPosition="0">
        <references count="2">
          <reference field="4294967294" count="1" selected="0">
            <x v="0"/>
          </reference>
          <reference field="4" count="1" selected="0">
            <x v="17"/>
          </reference>
        </references>
      </pivotArea>
    </chartFormat>
    <chartFormat chart="3" format="17">
      <pivotArea type="data" outline="0" fieldPosition="0">
        <references count="2">
          <reference field="4294967294" count="1" selected="0">
            <x v="0"/>
          </reference>
          <reference field="4" count="1" selected="0">
            <x v="2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4E66A2-5351-49AD-90E6-EDE8074197BC}"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5:A26" firstHeaderRow="1" firstDataRow="1" firstDataCol="0"/>
  <pivotFields count="16">
    <pivotField showAll="0"/>
    <pivotField numFmtId="14" showAll="0">
      <items count="30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t="default"/>
      </items>
    </pivotField>
    <pivotField showAll="0"/>
    <pivotField showAll="0">
      <items count="20">
        <item x="17"/>
        <item x="9"/>
        <item x="18"/>
        <item x="15"/>
        <item x="0"/>
        <item x="12"/>
        <item x="13"/>
        <item x="6"/>
        <item x="5"/>
        <item x="10"/>
        <item x="2"/>
        <item x="1"/>
        <item x="16"/>
        <item x="11"/>
        <item x="3"/>
        <item x="14"/>
        <item x="7"/>
        <item x="8"/>
        <item x="4"/>
        <item t="default"/>
      </items>
    </pivotField>
    <pivotField showAll="0"/>
    <pivotField showAll="0"/>
    <pivotField showAll="0"/>
    <pivotField showAll="0"/>
    <pivotField showAll="0"/>
    <pivotField showAll="0"/>
    <pivotField showAll="0"/>
    <pivotField dataField="1" showAll="0"/>
    <pivotField showAll="0" defaultSubtotal="0"/>
    <pivotField showAll="0" defaultSubtotal="0">
      <items count="6">
        <item h="1" x="0"/>
        <item x="1"/>
        <item h="1" x="2"/>
        <item h="1" x="3"/>
        <item h="1" x="4"/>
        <item h="1" x="5"/>
      </items>
    </pivotField>
    <pivotField dragToRow="0" dragToCol="0" dragToPage="0" showAll="0" defaultSubtotal="0"/>
    <pivotField dragToRow="0" dragToCol="0" dragToPage="0" showAll="0" defaultSubtotal="0"/>
  </pivotFields>
  <rowItems count="1">
    <i/>
  </rowItems>
  <colItems count="1">
    <i/>
  </colItems>
  <dataFields count="1">
    <dataField name="Sum of AOV" fld="11" baseField="0" baseItem="0" numFmtId="164"/>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B4DCC4-527E-4F85-A729-4708CAFC93C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0" firstHeaderRow="1" firstDataRow="1" firstDataCol="1"/>
  <pivotFields count="16">
    <pivotField showAll="0"/>
    <pivotField numFmtId="14" showAll="0">
      <items count="30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t="default"/>
      </items>
    </pivotField>
    <pivotField showAll="0"/>
    <pivotField axis="axisRow" showAll="0" measureFilter="1" sortType="descending">
      <items count="20">
        <item x="17"/>
        <item x="9"/>
        <item x="18"/>
        <item x="15"/>
        <item x="0"/>
        <item x="12"/>
        <item x="13"/>
        <item x="6"/>
        <item x="5"/>
        <item x="10"/>
        <item x="2"/>
        <item x="1"/>
        <item x="16"/>
        <item x="11"/>
        <item x="3"/>
        <item x="14"/>
        <item x="7"/>
        <item x="8"/>
        <item x="4"/>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4">
        <item x="1"/>
        <item x="0"/>
        <item x="2"/>
        <item t="default"/>
      </items>
    </pivotField>
    <pivotField showAll="0"/>
    <pivotField showAll="0">
      <items count="6">
        <item x="2"/>
        <item x="1"/>
        <item x="4"/>
        <item x="3"/>
        <item x="0"/>
        <item t="default"/>
      </items>
    </pivotField>
    <pivotField showAll="0"/>
    <pivotField showAll="0">
      <items count="15">
        <item x="0"/>
        <item x="1"/>
        <item x="2"/>
        <item x="3"/>
        <item x="4"/>
        <item x="5"/>
        <item x="6"/>
        <item x="7"/>
        <item x="8"/>
        <item x="9"/>
        <item x="10"/>
        <item x="11"/>
        <item x="12"/>
        <item x="13"/>
        <item t="default"/>
      </items>
    </pivotField>
    <pivotField showAll="0">
      <items count="7">
        <item h="1" x="0"/>
        <item x="1"/>
        <item h="1" x="2"/>
        <item h="1" x="3"/>
        <item h="1" x="4"/>
        <item h="1" x="5"/>
        <item t="default"/>
      </items>
    </pivotField>
    <pivotField dragToRow="0" dragToCol="0" dragToPage="0" showAll="0" defaultSubtotal="0"/>
    <pivotField dragToRow="0" dragToCol="0" dragToPage="0" showAll="0" defaultSubtotal="0"/>
  </pivotFields>
  <rowFields count="1">
    <field x="3"/>
  </rowFields>
  <rowItems count="7">
    <i>
      <x v="11"/>
    </i>
    <i>
      <x v="10"/>
    </i>
    <i>
      <x v="17"/>
    </i>
    <i>
      <x v="2"/>
    </i>
    <i>
      <x v="13"/>
    </i>
    <i>
      <x v="18"/>
    </i>
    <i t="grand">
      <x/>
    </i>
  </rowItems>
  <colItems count="1">
    <i/>
  </colItems>
  <dataFields count="1">
    <dataField name="Sum of Amount" fld="5" baseField="3"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5A64D8-384E-47C1-87B8-C1FF2A2B226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1:A32" firstHeaderRow="1" firstDataRow="1" firstDataCol="0"/>
  <pivotFields count="16">
    <pivotField showAll="0"/>
    <pivotField numFmtId="14" showAll="0">
      <items count="30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t="default"/>
      </items>
    </pivotField>
    <pivotField showAll="0"/>
    <pivotField showAll="0">
      <items count="20">
        <item x="17"/>
        <item x="9"/>
        <item x="18"/>
        <item x="15"/>
        <item x="0"/>
        <item x="12"/>
        <item x="13"/>
        <item x="6"/>
        <item x="5"/>
        <item x="10"/>
        <item x="2"/>
        <item x="1"/>
        <item x="16"/>
        <item x="11"/>
        <item x="3"/>
        <item x="14"/>
        <item x="7"/>
        <item x="8"/>
        <item x="4"/>
        <item t="default"/>
      </items>
    </pivotField>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h="1" x="0"/>
        <item x="1"/>
        <item h="1" x="2"/>
        <item h="1" x="3"/>
        <item h="1" x="4"/>
        <item h="1" x="5"/>
        <item t="default"/>
      </items>
    </pivotField>
    <pivotField dragToRow="0" dragToCol="0" dragToPage="0" showAll="0" defaultSubtotal="0"/>
    <pivotField dragToRow="0" dragToCol="0" dragToPage="0" showAll="0" defaultSubtotal="0"/>
  </pivotFields>
  <rowItems count="1">
    <i/>
  </rowItems>
  <colItems count="1">
    <i/>
  </colItems>
  <dataFields count="1">
    <dataField name="Sum of Profit" fld="6" baseField="0" baseItem="0" numFmtId="164"/>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E09C7D-DCAF-4D00-879F-96A4EA14705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5" firstHeaderRow="1" firstDataRow="1" firstDataCol="1"/>
  <pivotFields count="16">
    <pivotField showAll="0"/>
    <pivotField numFmtId="14" showAll="0">
      <items count="30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t="default"/>
      </items>
    </pivotField>
    <pivotField showAll="0"/>
    <pivotField showAll="0">
      <items count="20">
        <item x="17"/>
        <item x="9"/>
        <item x="18"/>
        <item x="15"/>
        <item x="0"/>
        <item x="12"/>
        <item x="13"/>
        <item x="6"/>
        <item x="5"/>
        <item x="10"/>
        <item x="2"/>
        <item x="1"/>
        <item x="16"/>
        <item x="11"/>
        <item x="3"/>
        <item x="14"/>
        <item x="7"/>
        <item x="8"/>
        <item x="4"/>
        <item t="default"/>
      </items>
    </pivotField>
    <pivotField showAll="0"/>
    <pivotField showAll="0"/>
    <pivotField dataField="1"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h="1" x="0"/>
        <item sd="0" x="1"/>
        <item h="1" sd="0" x="2"/>
        <item h="1" sd="0" x="3"/>
        <item h="1" sd="0" x="4"/>
        <item h="1" x="5"/>
        <item t="default"/>
      </items>
    </pivotField>
    <pivotField dragToRow="0" dragToCol="0" dragToPage="0" showAll="0" defaultSubtotal="0"/>
    <pivotField dragToRow="0" dragToCol="0" dragToPage="0" showAll="0" defaultSubtotal="0"/>
  </pivotFields>
  <rowFields count="2">
    <field x="13"/>
    <field x="12"/>
  </rowFields>
  <rowItems count="2">
    <i>
      <x v="1"/>
    </i>
    <i t="grand">
      <x/>
    </i>
  </rowItems>
  <colItems count="1">
    <i/>
  </colItems>
  <dataFields count="1">
    <dataField name="Sum of Profi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582503-67BB-4050-B75C-C49E345E84B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K9" firstHeaderRow="1" firstDataRow="1" firstDataCol="1"/>
  <pivotFields count="16">
    <pivotField showAll="0"/>
    <pivotField numFmtId="14" showAll="0">
      <items count="30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t="default"/>
      </items>
    </pivotField>
    <pivotField showAll="0"/>
    <pivotField showAll="0">
      <items count="20">
        <item x="17"/>
        <item x="9"/>
        <item x="18"/>
        <item x="15"/>
        <item x="0"/>
        <item x="12"/>
        <item x="13"/>
        <item x="6"/>
        <item x="5"/>
        <item x="10"/>
        <item x="2"/>
        <item x="1"/>
        <item x="16"/>
        <item x="11"/>
        <item x="3"/>
        <item x="14"/>
        <item x="7"/>
        <item x="8"/>
        <item x="4"/>
        <item t="default"/>
      </items>
    </pivotField>
    <pivotField showAll="0"/>
    <pivotField showAll="0"/>
    <pivotField showAll="0"/>
    <pivotField dataField="1" showAll="0"/>
    <pivotField showAll="0"/>
    <pivotField showAll="0"/>
    <pivotField axis="axisRow" showAll="0">
      <items count="6">
        <item x="2"/>
        <item x="1"/>
        <item x="4"/>
        <item x="3"/>
        <item x="0"/>
        <item t="default"/>
      </items>
    </pivotField>
    <pivotField showAll="0"/>
    <pivotField showAll="0">
      <items count="15">
        <item x="0"/>
        <item x="1"/>
        <item x="2"/>
        <item x="3"/>
        <item x="4"/>
        <item x="5"/>
        <item x="6"/>
        <item x="7"/>
        <item x="8"/>
        <item x="9"/>
        <item x="10"/>
        <item x="11"/>
        <item x="12"/>
        <item x="13"/>
        <item t="default"/>
      </items>
    </pivotField>
    <pivotField showAll="0">
      <items count="7">
        <item h="1" x="0"/>
        <item x="1"/>
        <item h="1" x="2"/>
        <item h="1" x="3"/>
        <item h="1" x="4"/>
        <item h="1" x="5"/>
        <item t="default"/>
      </items>
    </pivotField>
    <pivotField dragToRow="0" dragToCol="0" dragToPage="0" showAll="0" defaultSubtotal="0"/>
    <pivotField dragToRow="0" dragToCol="0" dragToPage="0" showAll="0" defaultSubtotal="0"/>
  </pivotFields>
  <rowFields count="1">
    <field x="10"/>
  </rowFields>
  <rowItems count="6">
    <i>
      <x/>
    </i>
    <i>
      <x v="1"/>
    </i>
    <i>
      <x v="2"/>
    </i>
    <i>
      <x v="3"/>
    </i>
    <i>
      <x v="4"/>
    </i>
    <i t="grand">
      <x/>
    </i>
  </rowItems>
  <colItems count="1">
    <i/>
  </colItems>
  <dataFields count="1">
    <dataField name="Sum of Quantity" fld="7" showDataAs="percentOfTotal" baseField="10" baseItem="0" numFmtId="10"/>
  </dataFields>
  <chartFormats count="6">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0" count="1" selected="0">
            <x v="0"/>
          </reference>
        </references>
      </pivotArea>
    </chartFormat>
    <chartFormat chart="5" format="14">
      <pivotArea type="data" outline="0" fieldPosition="0">
        <references count="2">
          <reference field="4294967294" count="1" selected="0">
            <x v="0"/>
          </reference>
          <reference field="10" count="1" selected="0">
            <x v="1"/>
          </reference>
        </references>
      </pivotArea>
    </chartFormat>
    <chartFormat chart="5" format="15">
      <pivotArea type="data" outline="0" fieldPosition="0">
        <references count="2">
          <reference field="4294967294" count="1" selected="0">
            <x v="0"/>
          </reference>
          <reference field="10" count="1" selected="0">
            <x v="2"/>
          </reference>
        </references>
      </pivotArea>
    </chartFormat>
    <chartFormat chart="5" format="16">
      <pivotArea type="data" outline="0" fieldPosition="0">
        <references count="2">
          <reference field="4294967294" count="1" selected="0">
            <x v="0"/>
          </reference>
          <reference field="10" count="1" selected="0">
            <x v="3"/>
          </reference>
        </references>
      </pivotArea>
    </chartFormat>
    <chartFormat chart="5" format="17">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C681C1-8C64-41FF-AF09-C4C11C41D06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11:K15" firstHeaderRow="1" firstDataRow="1" firstDataCol="1"/>
  <pivotFields count="16">
    <pivotField showAll="0"/>
    <pivotField numFmtId="14" showAll="0">
      <items count="30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t="default"/>
      </items>
    </pivotField>
    <pivotField showAll="0"/>
    <pivotField showAll="0">
      <items count="20">
        <item x="17"/>
        <item x="9"/>
        <item x="18"/>
        <item x="15"/>
        <item x="0"/>
        <item x="12"/>
        <item x="13"/>
        <item x="6"/>
        <item x="5"/>
        <item x="10"/>
        <item x="2"/>
        <item x="1"/>
        <item x="16"/>
        <item x="11"/>
        <item x="3"/>
        <item x="14"/>
        <item x="7"/>
        <item x="8"/>
        <item x="4"/>
        <item t="default"/>
      </items>
    </pivotField>
    <pivotField showAll="0"/>
    <pivotField showAll="0"/>
    <pivotField showAll="0"/>
    <pivotField dataField="1" showAll="0"/>
    <pivotField axis="axisRow" showAll="0">
      <items count="4">
        <item x="1"/>
        <item x="0"/>
        <item x="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h="1" x="0"/>
        <item x="1"/>
        <item h="1" x="2"/>
        <item h="1" x="3"/>
        <item h="1" x="4"/>
        <item h="1" x="5"/>
        <item t="default"/>
      </items>
    </pivotField>
    <pivotField dragToRow="0" dragToCol="0" dragToPage="0" showAll="0" defaultSubtotal="0"/>
    <pivotField dragToRow="0" dragToCol="0" dragToPage="0" showAll="0" defaultSubtotal="0"/>
  </pivotFields>
  <rowFields count="1">
    <field x="8"/>
  </rowFields>
  <rowItems count="4">
    <i>
      <x/>
    </i>
    <i>
      <x v="1"/>
    </i>
    <i>
      <x v="2"/>
    </i>
    <i t="grand">
      <x/>
    </i>
  </rowItems>
  <colItems count="1">
    <i/>
  </colItems>
  <dataFields count="1">
    <dataField name="Sum of Quantity" fld="7" baseField="0" baseItem="0"/>
  </dataField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8" count="1" selected="0">
            <x v="0"/>
          </reference>
        </references>
      </pivotArea>
    </chartFormat>
    <chartFormat chart="3" format="10">
      <pivotArea type="data" outline="0" fieldPosition="0">
        <references count="2">
          <reference field="4294967294" count="1" selected="0">
            <x v="0"/>
          </reference>
          <reference field="8" count="1" selected="0">
            <x v="1"/>
          </reference>
        </references>
      </pivotArea>
    </chartFormat>
    <chartFormat chart="3"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7F01F8-4EC5-430C-B5B7-29B44E9DBBB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8:A29" firstHeaderRow="1" firstDataRow="1" firstDataCol="0"/>
  <pivotFields count="16">
    <pivotField showAll="0"/>
    <pivotField numFmtId="14" showAll="0">
      <items count="30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t="default"/>
      </items>
    </pivotField>
    <pivotField showAll="0"/>
    <pivotField showAll="0">
      <items count="20">
        <item x="17"/>
        <item x="9"/>
        <item x="18"/>
        <item x="15"/>
        <item x="0"/>
        <item x="12"/>
        <item x="13"/>
        <item x="6"/>
        <item x="5"/>
        <item x="10"/>
        <item x="2"/>
        <item x="1"/>
        <item x="16"/>
        <item x="11"/>
        <item x="3"/>
        <item x="14"/>
        <item x="7"/>
        <item x="8"/>
        <item x="4"/>
        <item t="default"/>
      </items>
    </pivotField>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h="1" x="0"/>
        <item x="1"/>
        <item h="1" x="2"/>
        <item h="1" x="3"/>
        <item h="1" x="4"/>
        <item h="1" x="5"/>
        <item t="default"/>
      </items>
    </pivotField>
    <pivotField dragToRow="0" dragToCol="0" dragToPage="0" showAll="0" defaultSubtotal="0"/>
    <pivotField dragToRow="0" dragToCol="0" dragToPage="0" showAll="0" defaultSubtotal="0"/>
  </pivotFields>
  <rowItems count="1">
    <i/>
  </rowItems>
  <colItems count="1">
    <i/>
  </colItems>
  <dataFields count="1">
    <dataField name="Sum of Amount" fld="5" baseField="0" baseItem="0" numFmtId="164"/>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C85CD3-3FEC-4B86-9B03-4A1507266C91}"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4:A35" firstHeaderRow="1" firstDataRow="1" firstDataCol="0"/>
  <pivotFields count="16">
    <pivotField showAll="0"/>
    <pivotField numFmtId="14" showAll="0">
      <items count="30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t="default"/>
      </items>
    </pivotField>
    <pivotField showAll="0"/>
    <pivotField showAll="0">
      <items count="20">
        <item x="17"/>
        <item x="9"/>
        <item x="18"/>
        <item x="15"/>
        <item x="0"/>
        <item x="12"/>
        <item x="13"/>
        <item x="6"/>
        <item x="5"/>
        <item x="10"/>
        <item x="2"/>
        <item x="1"/>
        <item x="16"/>
        <item x="11"/>
        <item x="3"/>
        <item x="14"/>
        <item x="7"/>
        <item x="8"/>
        <item x="4"/>
        <item t="default"/>
      </items>
    </pivotField>
    <pivotField showAll="0"/>
    <pivotField showAll="0"/>
    <pivotField showAll="0"/>
    <pivotField dataField="1" showAll="0"/>
    <pivotField showAll="0"/>
    <pivotField showAll="0"/>
    <pivotField showAll="0"/>
    <pivotField showAll="0"/>
    <pivotField showAll="0" defaultSubtotal="0"/>
    <pivotField showAll="0" defaultSubtotal="0">
      <items count="6">
        <item h="1" x="0"/>
        <item x="1"/>
        <item h="1" x="2"/>
        <item h="1" x="3"/>
        <item h="1" x="4"/>
        <item h="1" x="5"/>
      </items>
    </pivotField>
    <pivotField dragToRow="0" dragToCol="0" dragToPage="0" showAll="0" defaultSubtotal="0"/>
    <pivotField dragToRow="0" dragToCol="0" dragToPage="0" showAll="0" defaultSubtotal="0"/>
  </pivotFields>
  <rowItems count="1">
    <i/>
  </rowItems>
  <colItems count="1">
    <i/>
  </colItems>
  <dataFields count="1">
    <dataField name="Sum of Quantity" fld="7" baseField="0" baseItem="0"/>
  </dataFields>
  <chartFormats count="2">
    <chartFormat chart="2" format="1" series="1">
      <pivotArea type="data" outline="0" fieldPosition="0">
        <references count="1">
          <reference field="4294967294" count="1" selected="0">
            <x v="0"/>
          </reference>
        </references>
      </pivotArea>
    </chartFormat>
    <chartFormat chart="2" format="2">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267FB9-239B-4BAA-9F3F-A507C6952F3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3:H29" firstHeaderRow="1" firstDataRow="1" firstDataCol="1"/>
  <pivotFields count="16">
    <pivotField showAll="0"/>
    <pivotField numFmtId="14" showAll="0">
      <items count="30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t="default"/>
      </items>
    </pivotField>
    <pivotField axis="axisRow" showAll="0" measureFilter="1">
      <items count="337">
        <item x="105"/>
        <item x="7"/>
        <item x="206"/>
        <item x="229"/>
        <item x="79"/>
        <item x="225"/>
        <item x="259"/>
        <item x="173"/>
        <item x="108"/>
        <item x="162"/>
        <item x="47"/>
        <item x="254"/>
        <item x="41"/>
        <item x="88"/>
        <item x="71"/>
        <item x="124"/>
        <item x="129"/>
        <item x="274"/>
        <item x="145"/>
        <item x="136"/>
        <item x="121"/>
        <item x="95"/>
        <item x="32"/>
        <item x="257"/>
        <item x="230"/>
        <item x="312"/>
        <item x="226"/>
        <item x="209"/>
        <item x="115"/>
        <item x="220"/>
        <item x="118"/>
        <item x="10"/>
        <item x="66"/>
        <item x="185"/>
        <item x="335"/>
        <item x="198"/>
        <item x="323"/>
        <item x="125"/>
        <item x="150"/>
        <item x="50"/>
        <item x="299"/>
        <item x="244"/>
        <item x="205"/>
        <item x="188"/>
        <item x="128"/>
        <item x="232"/>
        <item x="329"/>
        <item x="72"/>
        <item x="211"/>
        <item x="233"/>
        <item x="181"/>
        <item x="154"/>
        <item x="36"/>
        <item x="215"/>
        <item x="135"/>
        <item x="169"/>
        <item x="22"/>
        <item x="314"/>
        <item x="172"/>
        <item x="78"/>
        <item x="131"/>
        <item x="77"/>
        <item x="86"/>
        <item x="0"/>
        <item x="258"/>
        <item x="14"/>
        <item x="80"/>
        <item x="25"/>
        <item x="241"/>
        <item x="282"/>
        <item x="250"/>
        <item x="75"/>
        <item x="69"/>
        <item x="64"/>
        <item x="293"/>
        <item x="228"/>
        <item x="49"/>
        <item x="132"/>
        <item x="242"/>
        <item x="20"/>
        <item x="137"/>
        <item x="186"/>
        <item x="199"/>
        <item x="126"/>
        <item x="170"/>
        <item x="277"/>
        <item x="3"/>
        <item x="179"/>
        <item x="251"/>
        <item x="240"/>
        <item x="239"/>
        <item x="324"/>
        <item x="160"/>
        <item x="76"/>
        <item x="52"/>
        <item x="224"/>
        <item x="266"/>
        <item x="315"/>
        <item x="279"/>
        <item x="275"/>
        <item x="237"/>
        <item x="87"/>
        <item x="334"/>
        <item x="140"/>
        <item x="207"/>
        <item x="5"/>
        <item x="313"/>
        <item x="28"/>
        <item x="326"/>
        <item x="26"/>
        <item x="193"/>
        <item x="116"/>
        <item x="180"/>
        <item x="256"/>
        <item x="2"/>
        <item x="289"/>
        <item x="263"/>
        <item x="272"/>
        <item x="260"/>
        <item x="296"/>
        <item x="308"/>
        <item x="8"/>
        <item x="221"/>
        <item x="267"/>
        <item x="330"/>
        <item x="15"/>
        <item x="270"/>
        <item x="138"/>
        <item x="331"/>
        <item x="4"/>
        <item x="119"/>
        <item x="42"/>
        <item x="104"/>
        <item x="234"/>
        <item x="208"/>
        <item x="96"/>
        <item x="81"/>
        <item x="192"/>
        <item x="222"/>
        <item x="245"/>
        <item x="38"/>
        <item x="168"/>
        <item x="149"/>
        <item x="122"/>
        <item x="73"/>
        <item x="98"/>
        <item x="195"/>
        <item x="231"/>
        <item x="31"/>
        <item x="309"/>
        <item x="316"/>
        <item x="17"/>
        <item x="113"/>
        <item x="319"/>
        <item x="246"/>
        <item x="43"/>
        <item x="106"/>
        <item x="153"/>
        <item x="292"/>
        <item x="70"/>
        <item x="12"/>
        <item x="280"/>
        <item x="21"/>
        <item x="252"/>
        <item x="210"/>
        <item x="161"/>
        <item x="243"/>
        <item x="216"/>
        <item x="318"/>
        <item x="333"/>
        <item x="294"/>
        <item x="300"/>
        <item x="114"/>
        <item x="327"/>
        <item x="134"/>
        <item x="271"/>
        <item x="54"/>
        <item x="34"/>
        <item x="286"/>
        <item x="204"/>
        <item x="317"/>
        <item x="143"/>
        <item x="35"/>
        <item x="141"/>
        <item x="93"/>
        <item x="151"/>
        <item x="190"/>
        <item x="320"/>
        <item x="303"/>
        <item x="212"/>
        <item x="236"/>
        <item x="39"/>
        <item x="311"/>
        <item x="40"/>
        <item x="90"/>
        <item x="328"/>
        <item x="306"/>
        <item x="37"/>
        <item x="325"/>
        <item x="332"/>
        <item x="264"/>
        <item x="24"/>
        <item x="68"/>
        <item x="310"/>
        <item x="27"/>
        <item x="62"/>
        <item x="261"/>
        <item x="276"/>
        <item x="127"/>
        <item x="196"/>
        <item x="213"/>
        <item x="322"/>
        <item x="302"/>
        <item x="63"/>
        <item x="265"/>
        <item x="55"/>
        <item x="142"/>
        <item x="48"/>
        <item x="284"/>
        <item x="109"/>
        <item x="18"/>
        <item x="133"/>
        <item x="89"/>
        <item x="67"/>
        <item x="123"/>
        <item x="30"/>
        <item x="100"/>
        <item x="201"/>
        <item x="167"/>
        <item x="165"/>
        <item x="53"/>
        <item x="16"/>
        <item x="29"/>
        <item x="171"/>
        <item x="107"/>
        <item x="304"/>
        <item x="82"/>
        <item x="197"/>
        <item x="273"/>
        <item x="158"/>
        <item x="33"/>
        <item x="84"/>
        <item x="152"/>
        <item x="58"/>
        <item x="247"/>
        <item x="19"/>
        <item x="253"/>
        <item x="177"/>
        <item x="238"/>
        <item x="163"/>
        <item x="99"/>
        <item x="295"/>
        <item x="46"/>
        <item x="290"/>
        <item x="249"/>
        <item x="83"/>
        <item x="57"/>
        <item x="283"/>
        <item x="178"/>
        <item x="298"/>
        <item x="139"/>
        <item x="166"/>
        <item x="103"/>
        <item x="183"/>
        <item x="146"/>
        <item x="74"/>
        <item x="155"/>
        <item x="307"/>
        <item x="11"/>
        <item x="59"/>
        <item x="130"/>
        <item x="97"/>
        <item x="101"/>
        <item x="202"/>
        <item x="174"/>
        <item x="281"/>
        <item x="278"/>
        <item x="214"/>
        <item x="159"/>
        <item x="218"/>
        <item x="6"/>
        <item x="45"/>
        <item x="219"/>
        <item x="148"/>
        <item x="223"/>
        <item x="111"/>
        <item x="110"/>
        <item x="60"/>
        <item x="91"/>
        <item x="305"/>
        <item x="184"/>
        <item x="285"/>
        <item x="92"/>
        <item x="262"/>
        <item x="175"/>
        <item x="176"/>
        <item x="268"/>
        <item x="189"/>
        <item x="248"/>
        <item x="112"/>
        <item x="255"/>
        <item x="156"/>
        <item x="194"/>
        <item x="217"/>
        <item x="61"/>
        <item x="85"/>
        <item x="102"/>
        <item x="291"/>
        <item x="203"/>
        <item x="65"/>
        <item x="164"/>
        <item x="200"/>
        <item x="301"/>
        <item x="297"/>
        <item x="56"/>
        <item x="120"/>
        <item x="51"/>
        <item x="269"/>
        <item x="191"/>
        <item x="227"/>
        <item x="144"/>
        <item x="157"/>
        <item x="13"/>
        <item x="94"/>
        <item x="235"/>
        <item x="287"/>
        <item x="23"/>
        <item x="187"/>
        <item x="147"/>
        <item x="288"/>
        <item x="1"/>
        <item x="117"/>
        <item x="44"/>
        <item x="182"/>
        <item x="9"/>
        <item x="321"/>
        <item t="default"/>
      </items>
    </pivotField>
    <pivotField showAll="0">
      <items count="20">
        <item x="17"/>
        <item x="9"/>
        <item x="18"/>
        <item x="15"/>
        <item x="0"/>
        <item x="12"/>
        <item x="13"/>
        <item x="6"/>
        <item x="5"/>
        <item x="10"/>
        <item x="2"/>
        <item x="1"/>
        <item x="16"/>
        <item x="11"/>
        <item x="3"/>
        <item x="14"/>
        <item x="7"/>
        <item x="8"/>
        <item x="4"/>
        <item t="default"/>
      </items>
    </pivotField>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h="1" x="0"/>
        <item x="1"/>
        <item h="1" x="2"/>
        <item h="1" x="3"/>
        <item h="1" x="4"/>
        <item h="1" x="5"/>
        <item t="default"/>
      </items>
    </pivotField>
    <pivotField dragToRow="0" dragToCol="0" dragToPage="0" showAll="0" defaultSubtotal="0"/>
    <pivotField dragToRow="0" dragToCol="0" dragToPage="0" showAll="0" defaultSubtotal="0"/>
  </pivotFields>
  <rowFields count="1">
    <field x="2"/>
  </rowFields>
  <rowItems count="6">
    <i>
      <x v="102"/>
    </i>
    <i>
      <x v="245"/>
    </i>
    <i>
      <x v="259"/>
    </i>
    <i>
      <x v="268"/>
    </i>
    <i>
      <x v="269"/>
    </i>
    <i t="grand">
      <x/>
    </i>
  </rowItems>
  <colItems count="1">
    <i/>
  </colItems>
  <dataFields count="1">
    <dataField name="Sum of Amount" fld="5" baseField="2" baseItem="99" numFmtId="165"/>
  </dataFields>
  <chartFormats count="5">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 count="1" selected="0">
            <x v="102"/>
          </reference>
        </references>
      </pivotArea>
    </chartFormat>
    <chartFormat chart="4" format="4">
      <pivotArea type="data" outline="0" fieldPosition="0">
        <references count="2">
          <reference field="4294967294" count="1" selected="0">
            <x v="0"/>
          </reference>
          <reference field="2" count="1" selected="0">
            <x v="245"/>
          </reference>
        </references>
      </pivotArea>
    </chartFormat>
    <chartFormat chart="4" format="5">
      <pivotArea type="data" outline="0" fieldPosition="0">
        <references count="2">
          <reference field="4294967294" count="1" selected="0">
            <x v="0"/>
          </reference>
          <reference field="2" count="1" selected="0">
            <x v="259"/>
          </reference>
        </references>
      </pivotArea>
    </chartFormat>
    <chartFormat chart="4" format="6">
      <pivotArea type="data" outline="0" fieldPosition="0">
        <references count="2">
          <reference field="4294967294" count="1" selected="0">
            <x v="0"/>
          </reference>
          <reference field="2" count="1" selected="0">
            <x v="268"/>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2FBEF08-4600-4458-B03B-29CB34B1941C}"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19:L23" firstHeaderRow="0" firstDataRow="1" firstDataCol="1"/>
  <pivotFields count="16">
    <pivotField showAll="0"/>
    <pivotField numFmtId="14" showAll="0">
      <items count="30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t="default"/>
      </items>
    </pivotField>
    <pivotField showAll="0"/>
    <pivotField showAll="0">
      <items count="20">
        <item x="17"/>
        <item x="9"/>
        <item x="18"/>
        <item x="15"/>
        <item x="0"/>
        <item x="12"/>
        <item x="13"/>
        <item x="6"/>
        <item x="5"/>
        <item x="10"/>
        <item x="2"/>
        <item x="1"/>
        <item x="16"/>
        <item x="11"/>
        <item x="3"/>
        <item x="14"/>
        <item x="7"/>
        <item x="8"/>
        <item x="4"/>
        <item t="default"/>
      </items>
    </pivotField>
    <pivotField showAll="0"/>
    <pivotField showAll="0"/>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items count="6">
        <item h="1" x="0"/>
        <item x="1"/>
        <item h="1" x="2"/>
        <item h="1" x="3"/>
        <item h="1" x="4"/>
        <item h="1" x="5"/>
      </items>
    </pivotField>
    <pivotField dataField="1" dragToRow="0" dragToCol="0" dragToPage="0" showAll="0" defaultSubtotal="0"/>
    <pivotField dataField="1" dragToRow="0" dragToCol="0" dragToPage="0" showAll="0" defaultSubtotal="0"/>
  </pivotFields>
  <rowFields count="1">
    <field x="12"/>
  </rowFields>
  <rowItems count="4">
    <i>
      <x v="1"/>
    </i>
    <i>
      <x v="2"/>
    </i>
    <i>
      <x v="3"/>
    </i>
    <i t="grand">
      <x/>
    </i>
  </rowItems>
  <colFields count="1">
    <field x="-2"/>
  </colFields>
  <colItems count="2">
    <i>
      <x/>
    </i>
    <i i="1">
      <x v="1"/>
    </i>
  </colItems>
  <dataFields count="2">
    <dataField name="Sum of PositiveProfit" fld="14" baseField="0" baseItem="0" numFmtId="164"/>
    <dataField name="Sum of NegativeProfit" fld="15" baseField="0" baseItem="0" numFmtId="164"/>
  </dataFields>
  <formats count="1">
    <format dxfId="33">
      <pivotArea outline="0" collapsedLevelsAreSubtotals="1" fieldPosition="0"/>
    </format>
  </formats>
  <chartFormats count="2">
    <chartFormat chart="7" format="7"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992C5AE-A02F-4643-8F8A-DCAE302690E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9" firstHeaderRow="1" firstDataRow="1" firstDataCol="1"/>
  <pivotFields count="16">
    <pivotField showAll="0"/>
    <pivotField numFmtId="14" showAll="0">
      <items count="30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t="default"/>
      </items>
    </pivotField>
    <pivotField showAll="0"/>
    <pivotField showAll="0">
      <items count="20">
        <item x="17"/>
        <item x="9"/>
        <item x="18"/>
        <item x="15"/>
        <item x="0"/>
        <item x="12"/>
        <item x="13"/>
        <item x="6"/>
        <item x="5"/>
        <item x="10"/>
        <item x="2"/>
        <item x="1"/>
        <item x="16"/>
        <item x="11"/>
        <item x="3"/>
        <item x="14"/>
        <item x="7"/>
        <item x="8"/>
        <item x="4"/>
        <item t="default"/>
      </items>
    </pivotField>
    <pivotField showAll="0"/>
    <pivotField showAll="0"/>
    <pivotField dataField="1" showAll="0"/>
    <pivotField showAll="0"/>
    <pivotField showAll="0"/>
    <pivotField axis="axisRow" showAll="0" measureFilter="1" sortType="descending">
      <items count="18">
        <item x="14"/>
        <item x="13"/>
        <item x="8"/>
        <item x="0"/>
        <item x="11"/>
        <item x="2"/>
        <item x="16"/>
        <item x="6"/>
        <item x="1"/>
        <item x="9"/>
        <item x="4"/>
        <item x="5"/>
        <item x="15"/>
        <item x="10"/>
        <item x="7"/>
        <item x="12"/>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15">
        <item x="0"/>
        <item x="1"/>
        <item x="2"/>
        <item x="3"/>
        <item x="4"/>
        <item x="5"/>
        <item x="6"/>
        <item x="7"/>
        <item x="8"/>
        <item x="9"/>
        <item x="10"/>
        <item x="11"/>
        <item x="12"/>
        <item x="13"/>
        <item t="default"/>
      </items>
    </pivotField>
    <pivotField showAll="0">
      <items count="7">
        <item h="1" x="0"/>
        <item x="1"/>
        <item h="1" x="2"/>
        <item h="1" x="3"/>
        <item h="1" x="4"/>
        <item h="1" x="5"/>
        <item t="default"/>
      </items>
    </pivotField>
    <pivotField dragToRow="0" dragToCol="0" dragToPage="0" showAll="0" defaultSubtotal="0"/>
    <pivotField dragToRow="0" dragToCol="0" dragToPage="0" showAll="0" defaultSubtotal="0"/>
  </pivotFields>
  <rowFields count="1">
    <field x="9"/>
  </rowFields>
  <rowItems count="6">
    <i>
      <x v="8"/>
    </i>
    <i>
      <x v="1"/>
    </i>
    <i>
      <x/>
    </i>
    <i>
      <x v="9"/>
    </i>
    <i>
      <x v="2"/>
    </i>
    <i t="grand">
      <x/>
    </i>
  </rowItems>
  <colItems count="1">
    <i/>
  </colItems>
  <dataFields count="1">
    <dataField name="Sum of Profit" fld="6" baseField="9" baseItem="0" numFmtId="164"/>
  </dataFields>
  <chartFormats count="6">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9" count="1" selected="0">
            <x v="0"/>
          </reference>
        </references>
      </pivotArea>
    </chartFormat>
    <chartFormat chart="6" format="14">
      <pivotArea type="data" outline="0" fieldPosition="0">
        <references count="2">
          <reference field="4294967294" count="1" selected="0">
            <x v="0"/>
          </reference>
          <reference field="9" count="1" selected="0">
            <x v="1"/>
          </reference>
        </references>
      </pivotArea>
    </chartFormat>
    <chartFormat chart="6" format="15">
      <pivotArea type="data" outline="0" fieldPosition="0">
        <references count="2">
          <reference field="4294967294" count="1" selected="0">
            <x v="0"/>
          </reference>
          <reference field="9" count="1" selected="0">
            <x v="2"/>
          </reference>
        </references>
      </pivotArea>
    </chartFormat>
    <chartFormat chart="6" format="16">
      <pivotArea type="data" outline="0" fieldPosition="0">
        <references count="2">
          <reference field="4294967294" count="1" selected="0">
            <x v="0"/>
          </reference>
          <reference field="9" count="1" selected="0">
            <x v="9"/>
          </reference>
        </references>
      </pivotArea>
    </chartFormat>
    <chartFormat chart="6" format="17">
      <pivotArea type="data" outline="0" fieldPosition="0">
        <references count="2">
          <reference field="4294967294" count="1" selected="0">
            <x v="0"/>
          </reference>
          <reference field="9" count="1" selected="0">
            <x v="14"/>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3ABCC0BB-3B2E-4C06-B3B0-12E8361DD6BD}" autoFormatId="16" applyNumberFormats="0" applyBorderFormats="0" applyFontFormats="0" applyPatternFormats="0" applyAlignmentFormats="0" applyWidthHeightFormats="0">
  <queryTableRefresh nextId="18" unboundColumnsRight="7">
    <queryTableFields count="12">
      <queryTableField id="6" name="Order ID" tableColumnId="6"/>
      <queryTableField id="7" name="Order Date" tableColumnId="7"/>
      <queryTableField id="8" name="CustomerName" tableColumnId="8"/>
      <queryTableField id="9" name="State" tableColumnId="9"/>
      <queryTableField id="10" name="City"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 id="17" dataBound="0"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9865992D-E22B-4D9C-8274-0B4E1C1F9F53}" autoFormatId="16" applyNumberFormats="0" applyBorderFormats="0" applyFontFormats="0" applyPatternFormats="0" applyAlignmentFormats="0" applyWidthHeightFormats="0">
  <queryTableRefresh nextId="11">
    <queryTableFields count="5">
      <queryTableField id="6" name="Order ID" tableColumnId="6"/>
      <queryTableField id="7" name="Order Date" tableColumnId="7"/>
      <queryTableField id="8" name="CustomerName" tableColumnId="8"/>
      <queryTableField id="9" name="State" tableColumnId="9"/>
      <queryTableField id="10" name="City"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FEFAABD7-D45D-4B40-BBDD-AA70BC4883D9}" autoFormatId="16" applyNumberFormats="0" applyBorderFormats="0" applyFontFormats="0" applyPatternFormats="0" applyAlignmentFormats="0" applyWidthHeightFormats="0">
  <queryTableRefresh nextId="15">
    <queryTableFields count="7">
      <queryTableField id="8" name="Order ID" tableColumnId="8"/>
      <queryTableField id="9" name="Amount" tableColumnId="9"/>
      <queryTableField id="10" name="Profit" tableColumnId="10"/>
      <queryTableField id="11" name="Quantity" tableColumnId="11"/>
      <queryTableField id="12" name="Category" tableColumnId="12"/>
      <queryTableField id="13" name="Sub-Category" tableColumnId="13"/>
      <queryTableField id="14" name="PaymentMod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D749474E-1E42-478A-84E4-F6E6AC3C581E}" sourceName="Quarters (Order Date)">
  <pivotTables>
    <pivotTable tabId="11" name="PivotTable4"/>
    <pivotTable tabId="11" name="PivotTable10"/>
    <pivotTable tabId="11" name="PivotTable11"/>
    <pivotTable tabId="11" name="PivotTable12"/>
    <pivotTable tabId="11" name="PivotTable3"/>
    <pivotTable tabId="11" name="PivotTable6"/>
    <pivotTable tabId="11" name="PivotTable8"/>
    <pivotTable tabId="11" name="PivotTable9"/>
    <pivotTable tabId="11" name="PivotTable16"/>
    <pivotTable tabId="11" name="PivotTable18"/>
    <pivotTable tabId="11" name="PivotTable19"/>
    <pivotTable tabId="11" name="PivotTable20"/>
  </pivotTables>
  <data>
    <tabular pivotCacheId="714567976">
      <items count="6">
        <i x="1" s="1"/>
        <i x="2"/>
        <i x="3"/>
        <i x="4"/>
        <i x="0" nd="1"/>
        <i x="5"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61A7265-01CC-4F70-9F74-4CBD14DF86C2}" sourceName="State">
  <pivotTables>
    <pivotTable tabId="11" name="PivotTable3"/>
    <pivotTable tabId="11" name="PivotTable10"/>
    <pivotTable tabId="11" name="PivotTable11"/>
    <pivotTable tabId="11" name="PivotTable12"/>
    <pivotTable tabId="11" name="PivotTable16"/>
    <pivotTable tabId="11" name="PivotTable18"/>
    <pivotTable tabId="11" name="PivotTable19"/>
    <pivotTable tabId="11" name="PivotTable20"/>
    <pivotTable tabId="11" name="PivotTable4"/>
    <pivotTable tabId="11" name="PivotTable6"/>
    <pivotTable tabId="11" name="PivotTable8"/>
    <pivotTable tabId="11" name="PivotTable9"/>
  </pivotTables>
  <data>
    <tabular pivotCacheId="714567976">
      <items count="19">
        <i x="17" s="1"/>
        <i x="9" s="1"/>
        <i x="18" s="1"/>
        <i x="15" s="1"/>
        <i x="0" s="1"/>
        <i x="12" s="1"/>
        <i x="13" s="1"/>
        <i x="6" s="1"/>
        <i x="5" s="1"/>
        <i x="10" s="1"/>
        <i x="2" s="1"/>
        <i x="1" s="1"/>
        <i x="16" s="1"/>
        <i x="11" s="1"/>
        <i x="3" s="1"/>
        <i x="14" s="1"/>
        <i x="7" s="1"/>
        <i x="8" s="1"/>
        <i x="4"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Order Date)" xr10:uid="{F6B19953-2A15-4DF4-9F9B-46E09D10CF85}" cache="Slicer_Quarters__Order_Date" caption="Order Date" columnCount="4" style="Slicer Style 1" rowHeight="540000"/>
  <slicer name="State" xr10:uid="{CB86DE3B-46B1-47B9-AA4F-B6D409EC3E0D}" cache="Slicer_State" caption="State" startItem="16" style="Slicer Style 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110A59-D109-4822-AB60-33DACC2B974C}" name="Orders4" displayName="Orders4" ref="A1:L502" tableType="queryTable" totalsRowCount="1">
  <autoFilter ref="A1:L501" xr:uid="{98110A59-D109-4822-AB60-33DACC2B974C}"/>
  <sortState xmlns:xlrd2="http://schemas.microsoft.com/office/spreadsheetml/2017/richdata2" ref="A2:L501">
    <sortCondition ref="A1:A501"/>
  </sortState>
  <tableColumns count="12">
    <tableColumn id="6" xr3:uid="{88BF6FED-AB3C-4257-897E-31132910542A}" uniqueName="6" name="Order ID" queryTableFieldId="6" dataDxfId="32" totalsRowDxfId="31"/>
    <tableColumn id="7" xr3:uid="{2C08EB89-0E6C-48AD-817F-186485750684}" uniqueName="7" name="Order Date" queryTableFieldId="7" dataDxfId="30" totalsRowDxfId="29"/>
    <tableColumn id="8" xr3:uid="{AB75994E-36B6-42A5-A44C-E0A1699F51AD}" uniqueName="8" name="CustomerName" queryTableFieldId="8" dataDxfId="28" totalsRowDxfId="27"/>
    <tableColumn id="9" xr3:uid="{5B0BA7B1-79C7-4148-88DE-114451A88248}" uniqueName="9" name="State" queryTableFieldId="9" dataDxfId="26" totalsRowDxfId="25"/>
    <tableColumn id="10" xr3:uid="{AF7CBADB-C285-41F0-A7CB-9511161B3627}" uniqueName="10" name="City" queryTableFieldId="10" dataDxfId="24" totalsRowDxfId="23"/>
    <tableColumn id="11" xr3:uid="{94071271-064A-4164-A940-C67C9A3E6C2A}" uniqueName="11" name="Amount" queryTableFieldId="11" dataDxfId="22" totalsRowDxfId="21">
      <calculatedColumnFormula>_xlfn.XLOOKUP(Orders4[[#This Row],[Order ID]],Details!$A:$A, Details!$B:$B)</calculatedColumnFormula>
    </tableColumn>
    <tableColumn id="12" xr3:uid="{8282005B-2631-41E5-A955-0F5EA15CD403}" uniqueName="12" name="Profit" queryTableFieldId="12" dataDxfId="20" totalsRowDxfId="19">
      <calculatedColumnFormula>_xlfn.XLOOKUP(Orders4[[#This Row],[Order ID]],Details!$A:$A,Details!C:C)</calculatedColumnFormula>
    </tableColumn>
    <tableColumn id="13" xr3:uid="{2A0EFA6F-9040-4CE8-A6AB-04F279518A64}" uniqueName="13" name="Quantity" queryTableFieldId="13" dataDxfId="18" totalsRowDxfId="17">
      <calculatedColumnFormula>_xlfn.XLOOKUP(Orders4[[#This Row],[Order ID]],Details!$A:$A,Details!$D:$D)</calculatedColumnFormula>
    </tableColumn>
    <tableColumn id="14" xr3:uid="{69BA7F11-9A17-4E84-A6B8-45B524DA649A}" uniqueName="14" name="Category" queryTableFieldId="14" dataDxfId="16" totalsRowDxfId="15">
      <calculatedColumnFormula>_xlfn.XLOOKUP(Orders4[[#This Row],[Order ID]],Details!A:A,Details!$E:$E)</calculatedColumnFormula>
    </tableColumn>
    <tableColumn id="15" xr3:uid="{6D211799-4E0B-40F6-BD57-0425E18D3B4E}" uniqueName="15" name="Sub-Category" queryTableFieldId="15" dataDxfId="14" totalsRowDxfId="13">
      <calculatedColumnFormula>_xlfn.XLOOKUP(Orders4[[#This Row],[Order ID]],Details!$A:$A,Details!$F:$F)</calculatedColumnFormula>
    </tableColumn>
    <tableColumn id="16" xr3:uid="{688A364E-B0D5-4956-BF11-AD9DF5007131}" uniqueName="16" name="Payment Mode" queryTableFieldId="16" dataDxfId="12" totalsRowDxfId="11">
      <calculatedColumnFormula>_xlfn.XLOOKUP(Orders4[[#This Row],[Order ID]],Details!$A:$A,Details!$G:$G)</calculatedColumnFormula>
    </tableColumn>
    <tableColumn id="17" xr3:uid="{176123D9-06EC-40ED-B9F9-336D663B88A8}" uniqueName="17" name="AOV" totalsRowFunction="custom" queryTableFieldId="17" dataDxfId="10" totalsRowDxfId="9">
      <calculatedColumnFormula>Orders4[[#This Row],[Amount]]/Orders4[[#This Row],[Quantity]]</calculatedColumnFormula>
      <totalsRowFormula>SUM(L2:L501)</totalsRow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299A22-59A7-4A79-A035-67CE62EFD164}" name="Orders" displayName="Orders" ref="A1:E501" tableType="queryTable" totalsRowShown="0">
  <autoFilter ref="A1:E501" xr:uid="{EB299A22-59A7-4A79-A035-67CE62EFD164}"/>
  <tableColumns count="5">
    <tableColumn id="6" xr3:uid="{3A9B0AF5-47A3-4EBB-8EBF-9A505F35DCC1}" uniqueName="6" name="Order ID" queryTableFieldId="6" dataDxfId="8"/>
    <tableColumn id="7" xr3:uid="{16F979F8-FCC2-435B-8037-3745D24CEF44}" uniqueName="7" name="Order Date" queryTableFieldId="7" dataDxfId="7"/>
    <tableColumn id="8" xr3:uid="{01F8B689-AE9E-4962-8E56-94D6A33AA69F}" uniqueName="8" name="CustomerName" queryTableFieldId="8" dataDxfId="6"/>
    <tableColumn id="9" xr3:uid="{61DFE64D-5087-466D-9E3D-621919D12FEA}" uniqueName="9" name="State" queryTableFieldId="9" dataDxfId="5"/>
    <tableColumn id="10" xr3:uid="{D71D5168-D375-466C-AA90-B0EE2A16BBFA}" uniqueName="10" name="City" queryTableFieldId="10" dataDxf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332C14-44BB-4007-894A-E80D6D65B39B}" name="Details" displayName="Details" ref="A1:G1501" tableType="queryTable" totalsRowShown="0">
  <autoFilter ref="A1:G1501" xr:uid="{76332C14-44BB-4007-894A-E80D6D65B39B}"/>
  <tableColumns count="7">
    <tableColumn id="8" xr3:uid="{F168D357-8AD1-4565-BD4D-857EF851B46E}" uniqueName="8" name="Order ID" queryTableFieldId="8" dataDxfId="3"/>
    <tableColumn id="9" xr3:uid="{A0FA6135-A0F3-49A2-99C1-AD273B10A7EB}" uniqueName="9" name="Amount" queryTableFieldId="9"/>
    <tableColumn id="10" xr3:uid="{E88C64A9-DF90-400F-AA80-303ABDCA9E95}" uniqueName="10" name="Profit" queryTableFieldId="10"/>
    <tableColumn id="11" xr3:uid="{D85AC688-4B91-483B-9450-ADD0E20881FA}" uniqueName="11" name="Quantity" queryTableFieldId="11"/>
    <tableColumn id="12" xr3:uid="{C2F8A7FC-8999-4F67-82AE-FD63A3142FB0}" uniqueName="12" name="Category" queryTableFieldId="12" dataDxfId="2"/>
    <tableColumn id="13" xr3:uid="{48DD9A49-67BD-41B3-80E1-1D75AFF58898}" uniqueName="13" name="Sub-Category" queryTableFieldId="13" dataDxfId="1"/>
    <tableColumn id="14" xr3:uid="{D0F86669-4165-4ED6-9B09-05FE391C91AE}" uniqueName="14" name="PaymentMode" queryTableFieldId="1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00AD9-9E71-4713-8085-0F046B3A4D15}">
  <dimension ref="A1:A51"/>
  <sheetViews>
    <sheetView zoomScale="72" zoomScaleNormal="220" workbookViewId="0">
      <selection activeCell="Q58" sqref="Q58"/>
    </sheetView>
  </sheetViews>
  <sheetFormatPr defaultRowHeight="15" x14ac:dyDescent="0.25"/>
  <sheetData>
    <row r="1" spans="1:1" x14ac:dyDescent="0.25">
      <c r="A1" t="s">
        <v>928</v>
      </c>
    </row>
    <row r="3" spans="1:1" x14ac:dyDescent="0.25">
      <c r="A3" t="s">
        <v>939</v>
      </c>
    </row>
    <row r="4" spans="1:1" x14ac:dyDescent="0.25">
      <c r="A4" t="s">
        <v>940</v>
      </c>
    </row>
    <row r="5" spans="1:1" x14ac:dyDescent="0.25">
      <c r="A5" t="s">
        <v>929</v>
      </c>
    </row>
    <row r="7" spans="1:1" x14ac:dyDescent="0.25">
      <c r="A7" t="s">
        <v>930</v>
      </c>
    </row>
    <row r="9" spans="1:1" x14ac:dyDescent="0.25">
      <c r="A9" t="s">
        <v>941</v>
      </c>
    </row>
    <row r="10" spans="1:1" x14ac:dyDescent="0.25">
      <c r="A10" t="s">
        <v>931</v>
      </c>
    </row>
    <row r="12" spans="1:1" x14ac:dyDescent="0.25">
      <c r="A12" t="s">
        <v>932</v>
      </c>
    </row>
    <row r="14" spans="1:1" x14ac:dyDescent="0.25">
      <c r="A14" t="s">
        <v>942</v>
      </c>
    </row>
    <row r="15" spans="1:1" x14ac:dyDescent="0.25">
      <c r="A15" t="s">
        <v>933</v>
      </c>
    </row>
    <row r="17" spans="1:1" x14ac:dyDescent="0.25">
      <c r="A17" t="s">
        <v>934</v>
      </c>
    </row>
    <row r="19" spans="1:1" x14ac:dyDescent="0.25">
      <c r="A19" t="s">
        <v>943</v>
      </c>
    </row>
    <row r="20" spans="1:1" x14ac:dyDescent="0.25">
      <c r="A20" t="s">
        <v>944</v>
      </c>
    </row>
    <row r="21" spans="1:1" x14ac:dyDescent="0.25">
      <c r="A21" t="s">
        <v>935</v>
      </c>
    </row>
    <row r="23" spans="1:1" x14ac:dyDescent="0.25">
      <c r="A23" t="s">
        <v>936</v>
      </c>
    </row>
    <row r="25" spans="1:1" x14ac:dyDescent="0.25">
      <c r="A25" t="s">
        <v>945</v>
      </c>
    </row>
    <row r="26" spans="1:1" x14ac:dyDescent="0.25">
      <c r="A26" t="s">
        <v>946</v>
      </c>
    </row>
    <row r="28" spans="1:1" x14ac:dyDescent="0.25">
      <c r="A28" t="s">
        <v>937</v>
      </c>
    </row>
    <row r="30" spans="1:1" x14ac:dyDescent="0.25">
      <c r="A30" t="s">
        <v>947</v>
      </c>
    </row>
    <row r="31" spans="1:1" x14ac:dyDescent="0.25">
      <c r="A31" t="s">
        <v>938</v>
      </c>
    </row>
    <row r="33" spans="1:1" x14ac:dyDescent="0.25">
      <c r="A33" t="s">
        <v>948</v>
      </c>
    </row>
    <row r="34" spans="1:1" ht="18" x14ac:dyDescent="0.25">
      <c r="A34" s="7" t="s">
        <v>949</v>
      </c>
    </row>
    <row r="35" spans="1:1" x14ac:dyDescent="0.25">
      <c r="A35" t="s">
        <v>950</v>
      </c>
    </row>
    <row r="36" spans="1:1" x14ac:dyDescent="0.25">
      <c r="A36" s="8" t="s">
        <v>966</v>
      </c>
    </row>
    <row r="37" spans="1:1" x14ac:dyDescent="0.25">
      <c r="A37" t="s">
        <v>951</v>
      </c>
    </row>
    <row r="38" spans="1:1" ht="18" x14ac:dyDescent="0.25">
      <c r="A38" s="7" t="s">
        <v>952</v>
      </c>
    </row>
    <row r="39" spans="1:1" x14ac:dyDescent="0.25">
      <c r="A39" t="s">
        <v>953</v>
      </c>
    </row>
    <row r="40" spans="1:1" x14ac:dyDescent="0.25">
      <c r="A40" s="8" t="s">
        <v>954</v>
      </c>
    </row>
    <row r="41" spans="1:1" x14ac:dyDescent="0.25">
      <c r="A41" s="8" t="s">
        <v>955</v>
      </c>
    </row>
    <row r="42" spans="1:1" x14ac:dyDescent="0.25">
      <c r="A42" s="8" t="s">
        <v>956</v>
      </c>
    </row>
    <row r="43" spans="1:1" ht="18" x14ac:dyDescent="0.25">
      <c r="A43" s="7" t="s">
        <v>957</v>
      </c>
    </row>
    <row r="44" spans="1:1" x14ac:dyDescent="0.25">
      <c r="A44" s="8" t="s">
        <v>958</v>
      </c>
    </row>
    <row r="45" spans="1:1" x14ac:dyDescent="0.25">
      <c r="A45" s="8" t="s">
        <v>959</v>
      </c>
    </row>
    <row r="46" spans="1:1" ht="18" x14ac:dyDescent="0.25">
      <c r="A46" s="7" t="s">
        <v>960</v>
      </c>
    </row>
    <row r="47" spans="1:1" x14ac:dyDescent="0.25">
      <c r="A47" t="s">
        <v>961</v>
      </c>
    </row>
    <row r="48" spans="1:1" x14ac:dyDescent="0.25">
      <c r="A48" t="s">
        <v>962</v>
      </c>
    </row>
    <row r="49" spans="1:1" x14ac:dyDescent="0.25">
      <c r="A49" s="8" t="s">
        <v>963</v>
      </c>
    </row>
    <row r="50" spans="1:1" x14ac:dyDescent="0.25">
      <c r="A50" s="8" t="s">
        <v>964</v>
      </c>
    </row>
    <row r="51" spans="1:1" x14ac:dyDescent="0.25">
      <c r="A51" s="8" t="s">
        <v>965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7E350-0961-408F-A5FA-7C7371D3B65B}">
  <dimension ref="A1"/>
  <sheetViews>
    <sheetView showGridLines="0" tabSelected="1" zoomScale="84" zoomScaleNormal="130" workbookViewId="0">
      <selection activeCell="P49" sqref="P49"/>
    </sheetView>
  </sheetViews>
  <sheetFormatPr defaultRowHeight="15" x14ac:dyDescent="0.25"/>
  <cols>
    <col min="1" max="1" width="4.71093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01FB7-7583-4812-8455-D6293D115531}">
  <dimension ref="A3:L35"/>
  <sheetViews>
    <sheetView zoomScale="123" workbookViewId="0">
      <selection activeCell="D35" sqref="D35"/>
    </sheetView>
  </sheetViews>
  <sheetFormatPr defaultRowHeight="15" x14ac:dyDescent="0.25"/>
  <cols>
    <col min="1" max="1" width="15.85546875" bestFit="1" customWidth="1"/>
    <col min="2" max="2" width="14.85546875" bestFit="1" customWidth="1"/>
    <col min="3" max="3" width="2.5703125" customWidth="1"/>
    <col min="4" max="4" width="13.42578125" bestFit="1" customWidth="1"/>
    <col min="5" max="5" width="14.85546875" bestFit="1" customWidth="1"/>
    <col min="6" max="6" width="21" bestFit="1" customWidth="1"/>
    <col min="7" max="7" width="13.42578125" bestFit="1" customWidth="1"/>
    <col min="8" max="8" width="14.85546875" bestFit="1" customWidth="1"/>
    <col min="9" max="9" width="3.42578125" customWidth="1"/>
    <col min="10" max="10" width="13.42578125" bestFit="1" customWidth="1"/>
    <col min="11" max="11" width="20.28515625" bestFit="1" customWidth="1"/>
    <col min="12" max="13" width="21" bestFit="1" customWidth="1"/>
    <col min="14" max="14" width="12.28515625" bestFit="1" customWidth="1"/>
    <col min="15" max="336" width="16.85546875" bestFit="1" customWidth="1"/>
    <col min="337" max="337" width="11.28515625" bestFit="1" customWidth="1"/>
  </cols>
  <sheetData>
    <row r="3" spans="1:11" x14ac:dyDescent="0.25">
      <c r="A3" s="2" t="s">
        <v>915</v>
      </c>
      <c r="B3" t="s">
        <v>922</v>
      </c>
      <c r="D3" s="2" t="s">
        <v>915</v>
      </c>
      <c r="E3" t="s">
        <v>920</v>
      </c>
      <c r="G3" s="2" t="s">
        <v>915</v>
      </c>
      <c r="H3" t="s">
        <v>920</v>
      </c>
      <c r="J3" s="2" t="s">
        <v>915</v>
      </c>
      <c r="K3" t="s">
        <v>921</v>
      </c>
    </row>
    <row r="4" spans="1:11" x14ac:dyDescent="0.25">
      <c r="A4" s="3" t="s">
        <v>543</v>
      </c>
      <c r="B4" s="4">
        <v>12730</v>
      </c>
      <c r="D4" s="3" t="s">
        <v>924</v>
      </c>
      <c r="E4">
        <v>12616</v>
      </c>
      <c r="G4" s="3" t="s">
        <v>21</v>
      </c>
      <c r="H4" s="4">
        <v>2277</v>
      </c>
      <c r="J4" s="3" t="s">
        <v>10</v>
      </c>
      <c r="K4" s="6">
        <v>0.46755162241887904</v>
      </c>
    </row>
    <row r="5" spans="1:11" x14ac:dyDescent="0.25">
      <c r="A5" s="3" t="s">
        <v>546</v>
      </c>
      <c r="B5" s="4">
        <v>9629</v>
      </c>
      <c r="D5" s="3" t="s">
        <v>916</v>
      </c>
      <c r="E5">
        <v>12616</v>
      </c>
      <c r="G5" s="3" t="s">
        <v>16</v>
      </c>
      <c r="H5" s="4">
        <v>2209</v>
      </c>
      <c r="J5" s="3" t="s">
        <v>19</v>
      </c>
      <c r="K5" s="6">
        <v>0.14454277286135694</v>
      </c>
    </row>
    <row r="6" spans="1:11" x14ac:dyDescent="0.25">
      <c r="A6" s="3" t="s">
        <v>537</v>
      </c>
      <c r="B6" s="4">
        <v>7138</v>
      </c>
      <c r="G6" s="3" t="s">
        <v>73</v>
      </c>
      <c r="H6" s="4">
        <v>1843</v>
      </c>
      <c r="J6" s="3" t="s">
        <v>82</v>
      </c>
      <c r="K6" s="6">
        <v>0.11061946902654868</v>
      </c>
    </row>
    <row r="7" spans="1:11" x14ac:dyDescent="0.25">
      <c r="A7" s="3" t="s">
        <v>540</v>
      </c>
      <c r="B7" s="4">
        <v>5570</v>
      </c>
      <c r="G7" s="3" t="s">
        <v>18</v>
      </c>
      <c r="H7" s="4">
        <v>1490</v>
      </c>
      <c r="J7" s="3" t="s">
        <v>14</v>
      </c>
      <c r="K7" s="6">
        <v>0.12094395280235988</v>
      </c>
    </row>
    <row r="8" spans="1:11" x14ac:dyDescent="0.25">
      <c r="A8" s="3" t="s">
        <v>575</v>
      </c>
      <c r="B8" s="4">
        <v>5221</v>
      </c>
      <c r="G8" s="3" t="s">
        <v>13</v>
      </c>
      <c r="H8" s="4">
        <v>1189</v>
      </c>
      <c r="J8" s="3" t="s">
        <v>28</v>
      </c>
      <c r="K8" s="6">
        <v>0.15634218289085547</v>
      </c>
    </row>
    <row r="9" spans="1:11" x14ac:dyDescent="0.25">
      <c r="A9" s="3" t="s">
        <v>618</v>
      </c>
      <c r="B9" s="4">
        <v>4253</v>
      </c>
      <c r="G9" s="3" t="s">
        <v>916</v>
      </c>
      <c r="H9" s="4">
        <v>9008</v>
      </c>
      <c r="J9" s="3" t="s">
        <v>916</v>
      </c>
      <c r="K9" s="6">
        <v>1</v>
      </c>
    </row>
    <row r="10" spans="1:11" x14ac:dyDescent="0.25">
      <c r="A10" s="3" t="s">
        <v>916</v>
      </c>
      <c r="B10" s="4">
        <v>44541</v>
      </c>
    </row>
    <row r="11" spans="1:11" x14ac:dyDescent="0.25">
      <c r="J11" s="2" t="s">
        <v>915</v>
      </c>
      <c r="K11" t="s">
        <v>921</v>
      </c>
    </row>
    <row r="12" spans="1:11" x14ac:dyDescent="0.25">
      <c r="J12" s="3" t="s">
        <v>23</v>
      </c>
      <c r="K12">
        <v>379</v>
      </c>
    </row>
    <row r="13" spans="1:11" x14ac:dyDescent="0.25">
      <c r="J13" s="3" t="s">
        <v>8</v>
      </c>
      <c r="K13">
        <v>165</v>
      </c>
    </row>
    <row r="14" spans="1:11" x14ac:dyDescent="0.25">
      <c r="J14" s="3" t="s">
        <v>12</v>
      </c>
      <c r="K14">
        <v>134</v>
      </c>
    </row>
    <row r="15" spans="1:11" x14ac:dyDescent="0.25">
      <c r="J15" s="3" t="s">
        <v>916</v>
      </c>
      <c r="K15">
        <v>678</v>
      </c>
    </row>
    <row r="19" spans="1:12" x14ac:dyDescent="0.25">
      <c r="J19" s="2" t="s">
        <v>915</v>
      </c>
      <c r="K19" t="s">
        <v>926</v>
      </c>
      <c r="L19" t="s">
        <v>927</v>
      </c>
    </row>
    <row r="20" spans="1:12" x14ac:dyDescent="0.25">
      <c r="J20" s="3" t="s">
        <v>917</v>
      </c>
      <c r="K20" s="4">
        <v>4502</v>
      </c>
      <c r="L20" s="4">
        <v>0</v>
      </c>
    </row>
    <row r="21" spans="1:12" x14ac:dyDescent="0.25">
      <c r="J21" s="3" t="s">
        <v>918</v>
      </c>
      <c r="K21" s="4">
        <v>5271</v>
      </c>
      <c r="L21" s="4">
        <v>0</v>
      </c>
    </row>
    <row r="22" spans="1:12" x14ac:dyDescent="0.25">
      <c r="D22" s="2" t="s">
        <v>915</v>
      </c>
      <c r="E22" t="s">
        <v>922</v>
      </c>
      <c r="J22" s="3" t="s">
        <v>919</v>
      </c>
      <c r="K22" s="4">
        <v>2843</v>
      </c>
      <c r="L22" s="4">
        <v>0</v>
      </c>
    </row>
    <row r="23" spans="1:12" x14ac:dyDescent="0.25">
      <c r="D23" s="3" t="s">
        <v>576</v>
      </c>
      <c r="E23" s="4">
        <v>6342</v>
      </c>
      <c r="G23" s="2" t="s">
        <v>915</v>
      </c>
      <c r="H23" t="s">
        <v>922</v>
      </c>
      <c r="J23" s="3" t="s">
        <v>916</v>
      </c>
      <c r="K23" s="4">
        <v>12616</v>
      </c>
      <c r="L23" s="4">
        <v>0</v>
      </c>
    </row>
    <row r="24" spans="1:12" x14ac:dyDescent="0.25">
      <c r="D24" s="3" t="s">
        <v>540</v>
      </c>
      <c r="E24" s="4">
        <v>5570</v>
      </c>
      <c r="G24" s="3" t="s">
        <v>536</v>
      </c>
      <c r="H24" s="5">
        <v>5729</v>
      </c>
    </row>
    <row r="25" spans="1:12" x14ac:dyDescent="0.25">
      <c r="A25" t="s">
        <v>923</v>
      </c>
      <c r="D25" s="3" t="s">
        <v>547</v>
      </c>
      <c r="E25" s="4">
        <v>6180</v>
      </c>
      <c r="G25" s="3" t="s">
        <v>552</v>
      </c>
      <c r="H25" s="5">
        <v>3138</v>
      </c>
    </row>
    <row r="26" spans="1:12" x14ac:dyDescent="0.25">
      <c r="A26" s="4">
        <v>17836.482539682544</v>
      </c>
      <c r="D26" s="3" t="s">
        <v>538</v>
      </c>
      <c r="E26" s="4">
        <v>6127</v>
      </c>
      <c r="G26" s="3" t="s">
        <v>550</v>
      </c>
      <c r="H26" s="5">
        <v>2927</v>
      </c>
    </row>
    <row r="27" spans="1:12" x14ac:dyDescent="0.25">
      <c r="D27" s="3" t="s">
        <v>551</v>
      </c>
      <c r="E27" s="4">
        <v>9287</v>
      </c>
      <c r="G27" s="3" t="s">
        <v>574</v>
      </c>
      <c r="H27" s="5">
        <v>3311</v>
      </c>
    </row>
    <row r="28" spans="1:12" x14ac:dyDescent="0.25">
      <c r="A28" t="s">
        <v>922</v>
      </c>
      <c r="D28" s="3" t="s">
        <v>916</v>
      </c>
      <c r="E28" s="4">
        <v>33506</v>
      </c>
      <c r="G28" s="3" t="s">
        <v>591</v>
      </c>
      <c r="H28" s="5">
        <v>2204</v>
      </c>
    </row>
    <row r="29" spans="1:12" x14ac:dyDescent="0.25">
      <c r="A29" s="4">
        <v>68540</v>
      </c>
      <c r="G29" s="3" t="s">
        <v>916</v>
      </c>
      <c r="H29" s="5">
        <v>17309</v>
      </c>
    </row>
    <row r="31" spans="1:12" x14ac:dyDescent="0.25">
      <c r="A31" t="s">
        <v>920</v>
      </c>
    </row>
    <row r="32" spans="1:12" x14ac:dyDescent="0.25">
      <c r="A32" s="4">
        <v>12616</v>
      </c>
    </row>
    <row r="34" spans="1:1" x14ac:dyDescent="0.25">
      <c r="A34" t="s">
        <v>921</v>
      </c>
    </row>
    <row r="35" spans="1:1" x14ac:dyDescent="0.25">
      <c r="A35">
        <v>678</v>
      </c>
    </row>
  </sheetData>
  <pageMargins left="0.7" right="0.7" top="0.75" bottom="0.75" header="0.3" footer="0.3"/>
  <drawing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E11D8-7CBA-42A6-8548-D18F4E4284AB}">
  <dimension ref="A1:L502"/>
  <sheetViews>
    <sheetView workbookViewId="0">
      <selection activeCell="E43" sqref="E43"/>
    </sheetView>
  </sheetViews>
  <sheetFormatPr defaultRowHeight="15" x14ac:dyDescent="0.25"/>
  <cols>
    <col min="1" max="1" width="10.85546875" bestFit="1" customWidth="1"/>
    <col min="2" max="2" width="13.140625" bestFit="1" customWidth="1"/>
    <col min="3" max="3" width="17.7109375" bestFit="1" customWidth="1"/>
    <col min="4" max="4" width="19.42578125" bestFit="1" customWidth="1"/>
    <col min="5" max="5" width="20" bestFit="1" customWidth="1"/>
    <col min="6" max="6" width="11.42578125" bestFit="1" customWidth="1"/>
    <col min="7" max="7" width="14.42578125" bestFit="1" customWidth="1"/>
    <col min="8" max="8" width="14.85546875" bestFit="1" customWidth="1"/>
    <col min="9" max="9" width="19.42578125" bestFit="1" customWidth="1"/>
    <col min="10" max="10" width="16.42578125" bestFit="1" customWidth="1"/>
    <col min="11" max="11" width="16.7109375" bestFit="1" customWidth="1"/>
  </cols>
  <sheetData>
    <row r="1" spans="1:12" x14ac:dyDescent="0.25">
      <c r="A1" t="s">
        <v>0</v>
      </c>
      <c r="B1" t="s">
        <v>532</v>
      </c>
      <c r="C1" t="s">
        <v>533</v>
      </c>
      <c r="D1" t="s">
        <v>534</v>
      </c>
      <c r="E1" t="s">
        <v>535</v>
      </c>
      <c r="F1" t="s">
        <v>1</v>
      </c>
      <c r="G1" t="s">
        <v>2</v>
      </c>
      <c r="H1" t="s">
        <v>3</v>
      </c>
      <c r="I1" t="s">
        <v>4</v>
      </c>
      <c r="J1" t="s">
        <v>5</v>
      </c>
      <c r="K1" t="s">
        <v>914</v>
      </c>
      <c r="L1" t="s">
        <v>925</v>
      </c>
    </row>
    <row r="2" spans="1:12" x14ac:dyDescent="0.25">
      <c r="A2" t="s">
        <v>346</v>
      </c>
      <c r="B2" s="1">
        <v>43191</v>
      </c>
      <c r="C2" t="s">
        <v>630</v>
      </c>
      <c r="D2" t="s">
        <v>559</v>
      </c>
      <c r="E2" t="s">
        <v>566</v>
      </c>
      <c r="F2">
        <f>_xlfn.XLOOKUP(Orders4[[#This Row],[Order ID]],Details!$A:$A, Details!$B:$B)</f>
        <v>80</v>
      </c>
      <c r="G2">
        <f>_xlfn.XLOOKUP(Orders4[[#This Row],[Order ID]],Details!$A:$A,Details!C:C)</f>
        <v>-56</v>
      </c>
      <c r="H2">
        <f>_xlfn.XLOOKUP(Orders4[[#This Row],[Order ID]],Details!$A:$A,Details!$D:$D)</f>
        <v>4</v>
      </c>
      <c r="I2" t="str">
        <f>_xlfn.XLOOKUP(Orders4[[#This Row],[Order ID]],Details!A:A,Details!$E:$E)</f>
        <v>Electronics</v>
      </c>
      <c r="J2" t="str">
        <f>_xlfn.XLOOKUP(Orders4[[#This Row],[Order ID]],Details!$A:$A,Details!$F:$F)</f>
        <v>Electronic Games</v>
      </c>
      <c r="K2" t="str">
        <f>_xlfn.XLOOKUP(Orders4[[#This Row],[Order ID]],Details!$A:$A,Details!$G:$G)</f>
        <v>UPI</v>
      </c>
      <c r="L2">
        <f>Orders4[[#This Row],[Amount]]/Orders4[[#This Row],[Quantity]]</f>
        <v>20</v>
      </c>
    </row>
    <row r="3" spans="1:12" x14ac:dyDescent="0.25">
      <c r="A3" t="s">
        <v>20</v>
      </c>
      <c r="B3" s="1">
        <v>43191</v>
      </c>
      <c r="C3" t="s">
        <v>556</v>
      </c>
      <c r="D3" t="s">
        <v>543</v>
      </c>
      <c r="E3" t="s">
        <v>551</v>
      </c>
      <c r="F3">
        <f>_xlfn.XLOOKUP(Orders4[[#This Row],[Order ID]],Details!$A:$A, Details!$B:$B)</f>
        <v>2617</v>
      </c>
      <c r="G3">
        <f>_xlfn.XLOOKUP(Orders4[[#This Row],[Order ID]],Details!$A:$A,Details!C:C)</f>
        <v>1151</v>
      </c>
      <c r="H3">
        <f>_xlfn.XLOOKUP(Orders4[[#This Row],[Order ID]],Details!$A:$A,Details!$D:$D)</f>
        <v>4</v>
      </c>
      <c r="I3" t="str">
        <f>_xlfn.XLOOKUP(Orders4[[#This Row],[Order ID]],Details!A:A,Details!$E:$E)</f>
        <v>Electronics</v>
      </c>
      <c r="J3" t="str">
        <f>_xlfn.XLOOKUP(Orders4[[#This Row],[Order ID]],Details!$A:$A,Details!$F:$F)</f>
        <v>Phones</v>
      </c>
      <c r="K3" t="str">
        <f>_xlfn.XLOOKUP(Orders4[[#This Row],[Order ID]],Details!$A:$A,Details!$G:$G)</f>
        <v>Credit Card</v>
      </c>
      <c r="L3">
        <f>Orders4[[#This Row],[Amount]]/Orders4[[#This Row],[Quantity]]</f>
        <v>654.25</v>
      </c>
    </row>
    <row r="4" spans="1:12" x14ac:dyDescent="0.25">
      <c r="A4" t="s">
        <v>149</v>
      </c>
      <c r="B4" s="1">
        <v>43193</v>
      </c>
      <c r="C4" t="s">
        <v>616</v>
      </c>
      <c r="D4" t="s">
        <v>546</v>
      </c>
      <c r="E4" t="s">
        <v>578</v>
      </c>
      <c r="F4">
        <f>_xlfn.XLOOKUP(Orders4[[#This Row],[Order ID]],Details!$A:$A, Details!$B:$B)</f>
        <v>12</v>
      </c>
      <c r="G4">
        <f>_xlfn.XLOOKUP(Orders4[[#This Row],[Order ID]],Details!$A:$A,Details!C:C)</f>
        <v>1</v>
      </c>
      <c r="H4">
        <f>_xlfn.XLOOKUP(Orders4[[#This Row],[Order ID]],Details!$A:$A,Details!$D:$D)</f>
        <v>2</v>
      </c>
      <c r="I4" t="str">
        <f>_xlfn.XLOOKUP(Orders4[[#This Row],[Order ID]],Details!A:A,Details!$E:$E)</f>
        <v>Clothing</v>
      </c>
      <c r="J4" t="str">
        <f>_xlfn.XLOOKUP(Orders4[[#This Row],[Order ID]],Details!$A:$A,Details!$F:$F)</f>
        <v>Hankerchief</v>
      </c>
      <c r="K4" t="str">
        <f>_xlfn.XLOOKUP(Orders4[[#This Row],[Order ID]],Details!$A:$A,Details!$G:$G)</f>
        <v>COD</v>
      </c>
      <c r="L4">
        <f>Orders4[[#This Row],[Amount]]/Orders4[[#This Row],[Quantity]]</f>
        <v>6</v>
      </c>
    </row>
    <row r="5" spans="1:12" x14ac:dyDescent="0.25">
      <c r="A5" t="s">
        <v>324</v>
      </c>
      <c r="B5" s="1">
        <v>43193</v>
      </c>
      <c r="C5" t="s">
        <v>750</v>
      </c>
      <c r="D5" t="s">
        <v>595</v>
      </c>
      <c r="E5" t="s">
        <v>635</v>
      </c>
      <c r="F5">
        <f>_xlfn.XLOOKUP(Orders4[[#This Row],[Order ID]],Details!$A:$A, Details!$B:$B)</f>
        <v>65</v>
      </c>
      <c r="G5">
        <f>_xlfn.XLOOKUP(Orders4[[#This Row],[Order ID]],Details!$A:$A,Details!C:C)</f>
        <v>17</v>
      </c>
      <c r="H5">
        <f>_xlfn.XLOOKUP(Orders4[[#This Row],[Order ID]],Details!$A:$A,Details!$D:$D)</f>
        <v>2</v>
      </c>
      <c r="I5" t="str">
        <f>_xlfn.XLOOKUP(Orders4[[#This Row],[Order ID]],Details!A:A,Details!$E:$E)</f>
        <v>Clothing</v>
      </c>
      <c r="J5" t="str">
        <f>_xlfn.XLOOKUP(Orders4[[#This Row],[Order ID]],Details!$A:$A,Details!$F:$F)</f>
        <v>T-shirt</v>
      </c>
      <c r="K5" t="str">
        <f>_xlfn.XLOOKUP(Orders4[[#This Row],[Order ID]],Details!$A:$A,Details!$G:$G)</f>
        <v>UPI</v>
      </c>
      <c r="L5">
        <f>Orders4[[#This Row],[Amount]]/Orders4[[#This Row],[Quantity]]</f>
        <v>32.5</v>
      </c>
    </row>
    <row r="6" spans="1:12" x14ac:dyDescent="0.25">
      <c r="A6" t="s">
        <v>468</v>
      </c>
      <c r="B6" s="1">
        <v>43195</v>
      </c>
      <c r="C6" t="s">
        <v>722</v>
      </c>
      <c r="D6" t="s">
        <v>618</v>
      </c>
      <c r="E6" t="s">
        <v>619</v>
      </c>
      <c r="F6">
        <f>_xlfn.XLOOKUP(Orders4[[#This Row],[Order ID]],Details!$A:$A, Details!$B:$B)</f>
        <v>75</v>
      </c>
      <c r="G6">
        <f>_xlfn.XLOOKUP(Orders4[[#This Row],[Order ID]],Details!$A:$A,Details!C:C)</f>
        <v>0</v>
      </c>
      <c r="H6">
        <f>_xlfn.XLOOKUP(Orders4[[#This Row],[Order ID]],Details!$A:$A,Details!$D:$D)</f>
        <v>7</v>
      </c>
      <c r="I6" t="str">
        <f>_xlfn.XLOOKUP(Orders4[[#This Row],[Order ID]],Details!A:A,Details!$E:$E)</f>
        <v>Clothing</v>
      </c>
      <c r="J6" t="str">
        <f>_xlfn.XLOOKUP(Orders4[[#This Row],[Order ID]],Details!$A:$A,Details!$F:$F)</f>
        <v>Saree</v>
      </c>
      <c r="K6" t="str">
        <f>_xlfn.XLOOKUP(Orders4[[#This Row],[Order ID]],Details!$A:$A,Details!$G:$G)</f>
        <v>EMI</v>
      </c>
      <c r="L6">
        <f>Orders4[[#This Row],[Amount]]/Orders4[[#This Row],[Quantity]]</f>
        <v>10.714285714285714</v>
      </c>
    </row>
    <row r="7" spans="1:12" x14ac:dyDescent="0.25">
      <c r="A7" t="s">
        <v>396</v>
      </c>
      <c r="B7" s="1">
        <v>43196</v>
      </c>
      <c r="C7" t="s">
        <v>746</v>
      </c>
      <c r="D7" t="s">
        <v>598</v>
      </c>
      <c r="E7" t="s">
        <v>599</v>
      </c>
      <c r="F7">
        <f>_xlfn.XLOOKUP(Orders4[[#This Row],[Order ID]],Details!$A:$A, Details!$B:$B)</f>
        <v>87</v>
      </c>
      <c r="G7">
        <f>_xlfn.XLOOKUP(Orders4[[#This Row],[Order ID]],Details!$A:$A,Details!C:C)</f>
        <v>4</v>
      </c>
      <c r="H7">
        <f>_xlfn.XLOOKUP(Orders4[[#This Row],[Order ID]],Details!$A:$A,Details!$D:$D)</f>
        <v>2</v>
      </c>
      <c r="I7" t="str">
        <f>_xlfn.XLOOKUP(Orders4[[#This Row],[Order ID]],Details!A:A,Details!$E:$E)</f>
        <v>Clothing</v>
      </c>
      <c r="J7" t="str">
        <f>_xlfn.XLOOKUP(Orders4[[#This Row],[Order ID]],Details!$A:$A,Details!$F:$F)</f>
        <v>Shirt</v>
      </c>
      <c r="K7" t="str">
        <f>_xlfn.XLOOKUP(Orders4[[#This Row],[Order ID]],Details!$A:$A,Details!$G:$G)</f>
        <v>COD</v>
      </c>
      <c r="L7">
        <f>Orders4[[#This Row],[Amount]]/Orders4[[#This Row],[Quantity]]</f>
        <v>43.5</v>
      </c>
    </row>
    <row r="8" spans="1:12" x14ac:dyDescent="0.25">
      <c r="A8" t="s">
        <v>151</v>
      </c>
      <c r="B8" s="1">
        <v>43196</v>
      </c>
      <c r="C8" t="s">
        <v>851</v>
      </c>
      <c r="D8" t="s">
        <v>627</v>
      </c>
      <c r="E8" t="s">
        <v>628</v>
      </c>
      <c r="F8">
        <f>_xlfn.XLOOKUP(Orders4[[#This Row],[Order ID]],Details!$A:$A, Details!$B:$B)</f>
        <v>50</v>
      </c>
      <c r="G8">
        <f>_xlfn.XLOOKUP(Orders4[[#This Row],[Order ID]],Details!$A:$A,Details!C:C)</f>
        <v>-15</v>
      </c>
      <c r="H8">
        <f>_xlfn.XLOOKUP(Orders4[[#This Row],[Order ID]],Details!$A:$A,Details!$D:$D)</f>
        <v>4</v>
      </c>
      <c r="I8" t="str">
        <f>_xlfn.XLOOKUP(Orders4[[#This Row],[Order ID]],Details!A:A,Details!$E:$E)</f>
        <v>Clothing</v>
      </c>
      <c r="J8" t="str">
        <f>_xlfn.XLOOKUP(Orders4[[#This Row],[Order ID]],Details!$A:$A,Details!$F:$F)</f>
        <v>Leggings</v>
      </c>
      <c r="K8" t="str">
        <f>_xlfn.XLOOKUP(Orders4[[#This Row],[Order ID]],Details!$A:$A,Details!$G:$G)</f>
        <v>COD</v>
      </c>
      <c r="L8">
        <f>Orders4[[#This Row],[Amount]]/Orders4[[#This Row],[Quantity]]</f>
        <v>12.5</v>
      </c>
    </row>
    <row r="9" spans="1:12" x14ac:dyDescent="0.25">
      <c r="A9" t="s">
        <v>87</v>
      </c>
      <c r="B9" s="1">
        <v>43198</v>
      </c>
      <c r="C9" t="s">
        <v>611</v>
      </c>
      <c r="D9" t="s">
        <v>612</v>
      </c>
      <c r="E9" t="s">
        <v>613</v>
      </c>
      <c r="F9">
        <f>_xlfn.XLOOKUP(Orders4[[#This Row],[Order ID]],Details!$A:$A, Details!$B:$B)</f>
        <v>1364</v>
      </c>
      <c r="G9">
        <f>_xlfn.XLOOKUP(Orders4[[#This Row],[Order ID]],Details!$A:$A,Details!C:C)</f>
        <v>1864</v>
      </c>
      <c r="H9">
        <f>_xlfn.XLOOKUP(Orders4[[#This Row],[Order ID]],Details!$A:$A,Details!$D:$D)</f>
        <v>5</v>
      </c>
      <c r="I9" t="str">
        <f>_xlfn.XLOOKUP(Orders4[[#This Row],[Order ID]],Details!A:A,Details!$E:$E)</f>
        <v>Furniture</v>
      </c>
      <c r="J9" t="str">
        <f>_xlfn.XLOOKUP(Orders4[[#This Row],[Order ID]],Details!$A:$A,Details!$F:$F)</f>
        <v>Tables</v>
      </c>
      <c r="K9" t="str">
        <f>_xlfn.XLOOKUP(Orders4[[#This Row],[Order ID]],Details!$A:$A,Details!$G:$G)</f>
        <v>Credit Card</v>
      </c>
      <c r="L9">
        <f>Orders4[[#This Row],[Amount]]/Orders4[[#This Row],[Quantity]]</f>
        <v>272.8</v>
      </c>
    </row>
    <row r="10" spans="1:12" x14ac:dyDescent="0.25">
      <c r="A10" t="s">
        <v>190</v>
      </c>
      <c r="B10" s="1">
        <v>43199</v>
      </c>
      <c r="C10" t="s">
        <v>678</v>
      </c>
      <c r="D10" t="s">
        <v>537</v>
      </c>
      <c r="E10" t="s">
        <v>607</v>
      </c>
      <c r="F10">
        <f>_xlfn.XLOOKUP(Orders4[[#This Row],[Order ID]],Details!$A:$A, Details!$B:$B)</f>
        <v>485</v>
      </c>
      <c r="G10">
        <f>_xlfn.XLOOKUP(Orders4[[#This Row],[Order ID]],Details!$A:$A,Details!C:C)</f>
        <v>29</v>
      </c>
      <c r="H10">
        <f>_xlfn.XLOOKUP(Orders4[[#This Row],[Order ID]],Details!$A:$A,Details!$D:$D)</f>
        <v>4</v>
      </c>
      <c r="I10" t="str">
        <f>_xlfn.XLOOKUP(Orders4[[#This Row],[Order ID]],Details!A:A,Details!$E:$E)</f>
        <v>Electronics</v>
      </c>
      <c r="J10" t="str">
        <f>_xlfn.XLOOKUP(Orders4[[#This Row],[Order ID]],Details!$A:$A,Details!$F:$F)</f>
        <v>Electronic Games</v>
      </c>
      <c r="K10" t="str">
        <f>_xlfn.XLOOKUP(Orders4[[#This Row],[Order ID]],Details!$A:$A,Details!$G:$G)</f>
        <v>COD</v>
      </c>
      <c r="L10">
        <f>Orders4[[#This Row],[Amount]]/Orders4[[#This Row],[Quantity]]</f>
        <v>121.25</v>
      </c>
    </row>
    <row r="11" spans="1:12" x14ac:dyDescent="0.25">
      <c r="A11" t="s">
        <v>265</v>
      </c>
      <c r="B11" s="1">
        <v>43199</v>
      </c>
      <c r="C11" t="s">
        <v>562</v>
      </c>
      <c r="D11" t="s">
        <v>568</v>
      </c>
      <c r="E11" t="s">
        <v>569</v>
      </c>
      <c r="F11">
        <f>_xlfn.XLOOKUP(Orders4[[#This Row],[Order ID]],Details!$A:$A, Details!$B:$B)</f>
        <v>43</v>
      </c>
      <c r="G11">
        <f>_xlfn.XLOOKUP(Orders4[[#This Row],[Order ID]],Details!$A:$A,Details!C:C)</f>
        <v>0</v>
      </c>
      <c r="H11">
        <f>_xlfn.XLOOKUP(Orders4[[#This Row],[Order ID]],Details!$A:$A,Details!$D:$D)</f>
        <v>3</v>
      </c>
      <c r="I11" t="str">
        <f>_xlfn.XLOOKUP(Orders4[[#This Row],[Order ID]],Details!A:A,Details!$E:$E)</f>
        <v>Clothing</v>
      </c>
      <c r="J11" t="str">
        <f>_xlfn.XLOOKUP(Orders4[[#This Row],[Order ID]],Details!$A:$A,Details!$F:$F)</f>
        <v>Saree</v>
      </c>
      <c r="K11" t="str">
        <f>_xlfn.XLOOKUP(Orders4[[#This Row],[Order ID]],Details!$A:$A,Details!$G:$G)</f>
        <v>Debit Card</v>
      </c>
      <c r="L11">
        <f>Orders4[[#This Row],[Amount]]/Orders4[[#This Row],[Quantity]]</f>
        <v>14.333333333333334</v>
      </c>
    </row>
    <row r="12" spans="1:12" x14ac:dyDescent="0.25">
      <c r="A12" t="s">
        <v>423</v>
      </c>
      <c r="B12" s="1">
        <v>43201</v>
      </c>
      <c r="C12" t="s">
        <v>796</v>
      </c>
      <c r="D12" t="s">
        <v>580</v>
      </c>
      <c r="E12" t="s">
        <v>581</v>
      </c>
      <c r="F12">
        <f>_xlfn.XLOOKUP(Orders4[[#This Row],[Order ID]],Details!$A:$A, Details!$B:$B)</f>
        <v>160</v>
      </c>
      <c r="G12">
        <f>_xlfn.XLOOKUP(Orders4[[#This Row],[Order ID]],Details!$A:$A,Details!C:C)</f>
        <v>-59</v>
      </c>
      <c r="H12">
        <f>_xlfn.XLOOKUP(Orders4[[#This Row],[Order ID]],Details!$A:$A,Details!$D:$D)</f>
        <v>2</v>
      </c>
      <c r="I12" t="str">
        <f>_xlfn.XLOOKUP(Orders4[[#This Row],[Order ID]],Details!A:A,Details!$E:$E)</f>
        <v>Clothing</v>
      </c>
      <c r="J12" t="str">
        <f>_xlfn.XLOOKUP(Orders4[[#This Row],[Order ID]],Details!$A:$A,Details!$F:$F)</f>
        <v>Saree</v>
      </c>
      <c r="K12" t="str">
        <f>_xlfn.XLOOKUP(Orders4[[#This Row],[Order ID]],Details!$A:$A,Details!$G:$G)</f>
        <v>EMI</v>
      </c>
      <c r="L12">
        <f>Orders4[[#This Row],[Amount]]/Orders4[[#This Row],[Quantity]]</f>
        <v>80</v>
      </c>
    </row>
    <row r="13" spans="1:12" x14ac:dyDescent="0.25">
      <c r="A13" t="s">
        <v>267</v>
      </c>
      <c r="B13" s="1">
        <v>43202</v>
      </c>
      <c r="C13" t="s">
        <v>574</v>
      </c>
      <c r="D13" t="s">
        <v>575</v>
      </c>
      <c r="E13" t="s">
        <v>576</v>
      </c>
      <c r="F13">
        <f>_xlfn.XLOOKUP(Orders4[[#This Row],[Order ID]],Details!$A:$A, Details!$B:$B)</f>
        <v>259</v>
      </c>
      <c r="G13">
        <f>_xlfn.XLOOKUP(Orders4[[#This Row],[Order ID]],Details!$A:$A,Details!C:C)</f>
        <v>-55</v>
      </c>
      <c r="H13">
        <f>_xlfn.XLOOKUP(Orders4[[#This Row],[Order ID]],Details!$A:$A,Details!$D:$D)</f>
        <v>2</v>
      </c>
      <c r="I13" t="str">
        <f>_xlfn.XLOOKUP(Orders4[[#This Row],[Order ID]],Details!A:A,Details!$E:$E)</f>
        <v>Furniture</v>
      </c>
      <c r="J13" t="str">
        <f>_xlfn.XLOOKUP(Orders4[[#This Row],[Order ID]],Details!$A:$A,Details!$F:$F)</f>
        <v>Chairs</v>
      </c>
      <c r="K13" t="str">
        <f>_xlfn.XLOOKUP(Orders4[[#This Row],[Order ID]],Details!$A:$A,Details!$G:$G)</f>
        <v>COD</v>
      </c>
      <c r="L13">
        <f>Orders4[[#This Row],[Amount]]/Orders4[[#This Row],[Quantity]]</f>
        <v>129.5</v>
      </c>
    </row>
    <row r="14" spans="1:12" x14ac:dyDescent="0.25">
      <c r="A14" t="s">
        <v>75</v>
      </c>
      <c r="B14" s="1">
        <v>43202</v>
      </c>
      <c r="C14" t="s">
        <v>592</v>
      </c>
      <c r="D14" t="s">
        <v>593</v>
      </c>
      <c r="E14" t="s">
        <v>576</v>
      </c>
      <c r="F14">
        <f>_xlfn.XLOOKUP(Orders4[[#This Row],[Order ID]],Details!$A:$A, Details!$B:$B)</f>
        <v>1603</v>
      </c>
      <c r="G14">
        <f>_xlfn.XLOOKUP(Orders4[[#This Row],[Order ID]],Details!$A:$A,Details!C:C)</f>
        <v>0</v>
      </c>
      <c r="H14">
        <f>_xlfn.XLOOKUP(Orders4[[#This Row],[Order ID]],Details!$A:$A,Details!$D:$D)</f>
        <v>9</v>
      </c>
      <c r="I14" t="str">
        <f>_xlfn.XLOOKUP(Orders4[[#This Row],[Order ID]],Details!A:A,Details!$E:$E)</f>
        <v>Clothing</v>
      </c>
      <c r="J14" t="str">
        <f>_xlfn.XLOOKUP(Orders4[[#This Row],[Order ID]],Details!$A:$A,Details!$F:$F)</f>
        <v>Saree</v>
      </c>
      <c r="K14" t="str">
        <f>_xlfn.XLOOKUP(Orders4[[#This Row],[Order ID]],Details!$A:$A,Details!$G:$G)</f>
        <v>Credit Card</v>
      </c>
      <c r="L14">
        <f>Orders4[[#This Row],[Amount]]/Orders4[[#This Row],[Quantity]]</f>
        <v>178.11111111111111</v>
      </c>
    </row>
    <row r="15" spans="1:12" x14ac:dyDescent="0.25">
      <c r="A15" t="s">
        <v>440</v>
      </c>
      <c r="B15" s="1">
        <v>43203</v>
      </c>
      <c r="C15" t="s">
        <v>735</v>
      </c>
      <c r="D15" t="s">
        <v>571</v>
      </c>
      <c r="E15" t="s">
        <v>572</v>
      </c>
      <c r="F15">
        <f>_xlfn.XLOOKUP(Orders4[[#This Row],[Order ID]],Details!$A:$A, Details!$B:$B)</f>
        <v>98</v>
      </c>
      <c r="G15">
        <f>_xlfn.XLOOKUP(Orders4[[#This Row],[Order ID]],Details!$A:$A,Details!C:C)</f>
        <v>-12</v>
      </c>
      <c r="H15">
        <f>_xlfn.XLOOKUP(Orders4[[#This Row],[Order ID]],Details!$A:$A,Details!$D:$D)</f>
        <v>2</v>
      </c>
      <c r="I15" t="str">
        <f>_xlfn.XLOOKUP(Orders4[[#This Row],[Order ID]],Details!A:A,Details!$E:$E)</f>
        <v>Electronics</v>
      </c>
      <c r="J15" t="str">
        <f>_xlfn.XLOOKUP(Orders4[[#This Row],[Order ID]],Details!$A:$A,Details!$F:$F)</f>
        <v>Electronic Games</v>
      </c>
      <c r="K15" t="str">
        <f>_xlfn.XLOOKUP(Orders4[[#This Row],[Order ID]],Details!$A:$A,Details!$G:$G)</f>
        <v>Credit Card</v>
      </c>
      <c r="L15">
        <f>Orders4[[#This Row],[Amount]]/Orders4[[#This Row],[Quantity]]</f>
        <v>49</v>
      </c>
    </row>
    <row r="16" spans="1:12" x14ac:dyDescent="0.25">
      <c r="A16" t="s">
        <v>320</v>
      </c>
      <c r="B16" s="1">
        <v>43205</v>
      </c>
      <c r="C16" t="s">
        <v>820</v>
      </c>
      <c r="D16" t="s">
        <v>697</v>
      </c>
      <c r="E16" t="s">
        <v>698</v>
      </c>
      <c r="F16">
        <f>_xlfn.XLOOKUP(Orders4[[#This Row],[Order ID]],Details!$A:$A, Details!$B:$B)</f>
        <v>68</v>
      </c>
      <c r="G16">
        <f>_xlfn.XLOOKUP(Orders4[[#This Row],[Order ID]],Details!$A:$A,Details!C:C)</f>
        <v>20</v>
      </c>
      <c r="H16">
        <f>_xlfn.XLOOKUP(Orders4[[#This Row],[Order ID]],Details!$A:$A,Details!$D:$D)</f>
        <v>5</v>
      </c>
      <c r="I16" t="str">
        <f>_xlfn.XLOOKUP(Orders4[[#This Row],[Order ID]],Details!A:A,Details!$E:$E)</f>
        <v>Clothing</v>
      </c>
      <c r="J16" t="str">
        <f>_xlfn.XLOOKUP(Orders4[[#This Row],[Order ID]],Details!$A:$A,Details!$F:$F)</f>
        <v>Hankerchief</v>
      </c>
      <c r="K16" t="str">
        <f>_xlfn.XLOOKUP(Orders4[[#This Row],[Order ID]],Details!$A:$A,Details!$G:$G)</f>
        <v>Debit Card</v>
      </c>
      <c r="L16">
        <f>Orders4[[#This Row],[Amount]]/Orders4[[#This Row],[Quantity]]</f>
        <v>13.6</v>
      </c>
    </row>
    <row r="17" spans="1:12" x14ac:dyDescent="0.25">
      <c r="A17" t="s">
        <v>107</v>
      </c>
      <c r="B17" s="1">
        <v>43205</v>
      </c>
      <c r="C17" t="s">
        <v>787</v>
      </c>
      <c r="D17" t="s">
        <v>647</v>
      </c>
      <c r="E17" t="s">
        <v>647</v>
      </c>
      <c r="F17">
        <f>_xlfn.XLOOKUP(Orders4[[#This Row],[Order ID]],Details!$A:$A, Details!$B:$B)</f>
        <v>14</v>
      </c>
      <c r="G17">
        <f>_xlfn.XLOOKUP(Orders4[[#This Row],[Order ID]],Details!$A:$A,Details!C:C)</f>
        <v>-2</v>
      </c>
      <c r="H17">
        <f>_xlfn.XLOOKUP(Orders4[[#This Row],[Order ID]],Details!$A:$A,Details!$D:$D)</f>
        <v>3</v>
      </c>
      <c r="I17" t="str">
        <f>_xlfn.XLOOKUP(Orders4[[#This Row],[Order ID]],Details!A:A,Details!$E:$E)</f>
        <v>Clothing</v>
      </c>
      <c r="J17" t="str">
        <f>_xlfn.XLOOKUP(Orders4[[#This Row],[Order ID]],Details!$A:$A,Details!$F:$F)</f>
        <v>Hankerchief</v>
      </c>
      <c r="K17" t="str">
        <f>_xlfn.XLOOKUP(Orders4[[#This Row],[Order ID]],Details!$A:$A,Details!$G:$G)</f>
        <v>UPI</v>
      </c>
      <c r="L17">
        <f>Orders4[[#This Row],[Amount]]/Orders4[[#This Row],[Quantity]]</f>
        <v>4.666666666666667</v>
      </c>
    </row>
    <row r="18" spans="1:12" x14ac:dyDescent="0.25">
      <c r="A18" t="s">
        <v>476</v>
      </c>
      <c r="B18" s="1">
        <v>43207</v>
      </c>
      <c r="C18" t="s">
        <v>774</v>
      </c>
      <c r="D18" t="s">
        <v>584</v>
      </c>
      <c r="E18" t="s">
        <v>585</v>
      </c>
      <c r="F18">
        <f>_xlfn.XLOOKUP(Orders4[[#This Row],[Order ID]],Details!$A:$A, Details!$B:$B)</f>
        <v>305</v>
      </c>
      <c r="G18">
        <f>_xlfn.XLOOKUP(Orders4[[#This Row],[Order ID]],Details!$A:$A,Details!C:C)</f>
        <v>-270</v>
      </c>
      <c r="H18">
        <f>_xlfn.XLOOKUP(Orders4[[#This Row],[Order ID]],Details!$A:$A,Details!$D:$D)</f>
        <v>5</v>
      </c>
      <c r="I18" t="str">
        <f>_xlfn.XLOOKUP(Orders4[[#This Row],[Order ID]],Details!A:A,Details!$E:$E)</f>
        <v>Electronics</v>
      </c>
      <c r="J18" t="str">
        <f>_xlfn.XLOOKUP(Orders4[[#This Row],[Order ID]],Details!$A:$A,Details!$F:$F)</f>
        <v>Electronic Games</v>
      </c>
      <c r="K18" t="str">
        <f>_xlfn.XLOOKUP(Orders4[[#This Row],[Order ID]],Details!$A:$A,Details!$G:$G)</f>
        <v>Debit Card</v>
      </c>
      <c r="L18">
        <f>Orders4[[#This Row],[Amount]]/Orders4[[#This Row],[Quantity]]</f>
        <v>61</v>
      </c>
    </row>
    <row r="19" spans="1:12" x14ac:dyDescent="0.25">
      <c r="A19" t="s">
        <v>65</v>
      </c>
      <c r="B19" s="1">
        <v>43208</v>
      </c>
      <c r="C19" t="s">
        <v>632</v>
      </c>
      <c r="D19" t="s">
        <v>554</v>
      </c>
      <c r="E19" t="s">
        <v>555</v>
      </c>
      <c r="F19">
        <f>_xlfn.XLOOKUP(Orders4[[#This Row],[Order ID]],Details!$A:$A, Details!$B:$B)</f>
        <v>12</v>
      </c>
      <c r="G19">
        <f>_xlfn.XLOOKUP(Orders4[[#This Row],[Order ID]],Details!$A:$A,Details!C:C)</f>
        <v>0</v>
      </c>
      <c r="H19">
        <f>_xlfn.XLOOKUP(Orders4[[#This Row],[Order ID]],Details!$A:$A,Details!$D:$D)</f>
        <v>2</v>
      </c>
      <c r="I19" t="str">
        <f>_xlfn.XLOOKUP(Orders4[[#This Row],[Order ID]],Details!A:A,Details!$E:$E)</f>
        <v>Clothing</v>
      </c>
      <c r="J19" t="str">
        <f>_xlfn.XLOOKUP(Orders4[[#This Row],[Order ID]],Details!$A:$A,Details!$F:$F)</f>
        <v>Hankerchief</v>
      </c>
      <c r="K19" t="str">
        <f>_xlfn.XLOOKUP(Orders4[[#This Row],[Order ID]],Details!$A:$A,Details!$G:$G)</f>
        <v>UPI</v>
      </c>
      <c r="L19">
        <f>Orders4[[#This Row],[Amount]]/Orders4[[#This Row],[Quantity]]</f>
        <v>6</v>
      </c>
    </row>
    <row r="20" spans="1:12" x14ac:dyDescent="0.25">
      <c r="A20" t="s">
        <v>502</v>
      </c>
      <c r="B20" s="1">
        <v>43208</v>
      </c>
      <c r="C20" t="s">
        <v>761</v>
      </c>
      <c r="D20" t="s">
        <v>559</v>
      </c>
      <c r="E20" t="s">
        <v>566</v>
      </c>
      <c r="F20">
        <f>_xlfn.XLOOKUP(Orders4[[#This Row],[Order ID]],Details!$A:$A, Details!$B:$B)</f>
        <v>353</v>
      </c>
      <c r="G20">
        <f>_xlfn.XLOOKUP(Orders4[[#This Row],[Order ID]],Details!$A:$A,Details!C:C)</f>
        <v>90</v>
      </c>
      <c r="H20">
        <f>_xlfn.XLOOKUP(Orders4[[#This Row],[Order ID]],Details!$A:$A,Details!$D:$D)</f>
        <v>8</v>
      </c>
      <c r="I20" t="str">
        <f>_xlfn.XLOOKUP(Orders4[[#This Row],[Order ID]],Details!A:A,Details!$E:$E)</f>
        <v>Clothing</v>
      </c>
      <c r="J20" t="str">
        <f>_xlfn.XLOOKUP(Orders4[[#This Row],[Order ID]],Details!$A:$A,Details!$F:$F)</f>
        <v>Saree</v>
      </c>
      <c r="K20" t="str">
        <f>_xlfn.XLOOKUP(Orders4[[#This Row],[Order ID]],Details!$A:$A,Details!$G:$G)</f>
        <v>COD</v>
      </c>
      <c r="L20">
        <f>Orders4[[#This Row],[Amount]]/Orders4[[#This Row],[Quantity]]</f>
        <v>44.125</v>
      </c>
    </row>
    <row r="21" spans="1:12" x14ac:dyDescent="0.25">
      <c r="A21" t="s">
        <v>339</v>
      </c>
      <c r="B21" s="1">
        <v>43210</v>
      </c>
      <c r="C21" t="s">
        <v>552</v>
      </c>
      <c r="D21" t="s">
        <v>543</v>
      </c>
      <c r="E21" t="s">
        <v>551</v>
      </c>
      <c r="F21">
        <f>_xlfn.XLOOKUP(Orders4[[#This Row],[Order ID]],Details!$A:$A, Details!$B:$B)</f>
        <v>193</v>
      </c>
      <c r="G21">
        <f>_xlfn.XLOOKUP(Orders4[[#This Row],[Order ID]],Details!$A:$A,Details!C:C)</f>
        <v>46</v>
      </c>
      <c r="H21">
        <f>_xlfn.XLOOKUP(Orders4[[#This Row],[Order ID]],Details!$A:$A,Details!$D:$D)</f>
        <v>1</v>
      </c>
      <c r="I21" t="str">
        <f>_xlfn.XLOOKUP(Orders4[[#This Row],[Order ID]],Details!A:A,Details!$E:$E)</f>
        <v>Electronics</v>
      </c>
      <c r="J21" t="str">
        <f>_xlfn.XLOOKUP(Orders4[[#This Row],[Order ID]],Details!$A:$A,Details!$F:$F)</f>
        <v>Printers</v>
      </c>
      <c r="K21" t="str">
        <f>_xlfn.XLOOKUP(Orders4[[#This Row],[Order ID]],Details!$A:$A,Details!$G:$G)</f>
        <v>Credit Card</v>
      </c>
      <c r="L21">
        <f>Orders4[[#This Row],[Amount]]/Orders4[[#This Row],[Quantity]]</f>
        <v>193</v>
      </c>
    </row>
    <row r="22" spans="1:12" x14ac:dyDescent="0.25">
      <c r="A22" t="s">
        <v>239</v>
      </c>
      <c r="B22" s="1">
        <v>43210</v>
      </c>
      <c r="C22" t="s">
        <v>768</v>
      </c>
      <c r="D22" t="s">
        <v>546</v>
      </c>
      <c r="E22" t="s">
        <v>578</v>
      </c>
      <c r="F22">
        <f>_xlfn.XLOOKUP(Orders4[[#This Row],[Order ID]],Details!$A:$A, Details!$B:$B)</f>
        <v>333</v>
      </c>
      <c r="G22">
        <f>_xlfn.XLOOKUP(Orders4[[#This Row],[Order ID]],Details!$A:$A,Details!C:C)</f>
        <v>-15</v>
      </c>
      <c r="H22">
        <f>_xlfn.XLOOKUP(Orders4[[#This Row],[Order ID]],Details!$A:$A,Details!$D:$D)</f>
        <v>3</v>
      </c>
      <c r="I22" t="str">
        <f>_xlfn.XLOOKUP(Orders4[[#This Row],[Order ID]],Details!A:A,Details!$E:$E)</f>
        <v>Electronics</v>
      </c>
      <c r="J22" t="str">
        <f>_xlfn.XLOOKUP(Orders4[[#This Row],[Order ID]],Details!$A:$A,Details!$F:$F)</f>
        <v>Phones</v>
      </c>
      <c r="K22" t="str">
        <f>_xlfn.XLOOKUP(Orders4[[#This Row],[Order ID]],Details!$A:$A,Details!$G:$G)</f>
        <v>COD</v>
      </c>
      <c r="L22">
        <f>Orders4[[#This Row],[Amount]]/Orders4[[#This Row],[Quantity]]</f>
        <v>111</v>
      </c>
    </row>
    <row r="23" spans="1:12" x14ac:dyDescent="0.25">
      <c r="A23" t="s">
        <v>495</v>
      </c>
      <c r="B23" s="1">
        <v>43212</v>
      </c>
      <c r="C23" t="s">
        <v>727</v>
      </c>
      <c r="D23" t="s">
        <v>595</v>
      </c>
      <c r="E23" t="s">
        <v>635</v>
      </c>
      <c r="F23">
        <f>_xlfn.XLOOKUP(Orders4[[#This Row],[Order ID]],Details!$A:$A, Details!$B:$B)</f>
        <v>534</v>
      </c>
      <c r="G23">
        <f>_xlfn.XLOOKUP(Orders4[[#This Row],[Order ID]],Details!$A:$A,Details!C:C)</f>
        <v>0</v>
      </c>
      <c r="H23">
        <f>_xlfn.XLOOKUP(Orders4[[#This Row],[Order ID]],Details!$A:$A,Details!$D:$D)</f>
        <v>3</v>
      </c>
      <c r="I23" t="str">
        <f>_xlfn.XLOOKUP(Orders4[[#This Row],[Order ID]],Details!A:A,Details!$E:$E)</f>
        <v>Clothing</v>
      </c>
      <c r="J23" t="str">
        <f>_xlfn.XLOOKUP(Orders4[[#This Row],[Order ID]],Details!$A:$A,Details!$F:$F)</f>
        <v>Saree</v>
      </c>
      <c r="K23" t="str">
        <f>_xlfn.XLOOKUP(Orders4[[#This Row],[Order ID]],Details!$A:$A,Details!$G:$G)</f>
        <v>Debit Card</v>
      </c>
      <c r="L23">
        <f>Orders4[[#This Row],[Amount]]/Orders4[[#This Row],[Quantity]]</f>
        <v>178</v>
      </c>
    </row>
    <row r="24" spans="1:12" x14ac:dyDescent="0.25">
      <c r="A24" t="s">
        <v>336</v>
      </c>
      <c r="B24" s="1">
        <v>43212</v>
      </c>
      <c r="C24" t="s">
        <v>680</v>
      </c>
      <c r="D24" t="s">
        <v>618</v>
      </c>
      <c r="E24" t="s">
        <v>619</v>
      </c>
      <c r="F24">
        <f>_xlfn.XLOOKUP(Orders4[[#This Row],[Order ID]],Details!$A:$A, Details!$B:$B)</f>
        <v>149</v>
      </c>
      <c r="G24">
        <f>_xlfn.XLOOKUP(Orders4[[#This Row],[Order ID]],Details!$A:$A,Details!C:C)</f>
        <v>-87</v>
      </c>
      <c r="H24">
        <f>_xlfn.XLOOKUP(Orders4[[#This Row],[Order ID]],Details!$A:$A,Details!$D:$D)</f>
        <v>4</v>
      </c>
      <c r="I24" t="str">
        <f>_xlfn.XLOOKUP(Orders4[[#This Row],[Order ID]],Details!A:A,Details!$E:$E)</f>
        <v>Clothing</v>
      </c>
      <c r="J24" t="str">
        <f>_xlfn.XLOOKUP(Orders4[[#This Row],[Order ID]],Details!$A:$A,Details!$F:$F)</f>
        <v>Saree</v>
      </c>
      <c r="K24" t="str">
        <f>_xlfn.XLOOKUP(Orders4[[#This Row],[Order ID]],Details!$A:$A,Details!$G:$G)</f>
        <v>COD</v>
      </c>
      <c r="L24">
        <f>Orders4[[#This Row],[Amount]]/Orders4[[#This Row],[Quantity]]</f>
        <v>37.25</v>
      </c>
    </row>
    <row r="25" spans="1:12" x14ac:dyDescent="0.25">
      <c r="A25" t="s">
        <v>509</v>
      </c>
      <c r="B25" s="1">
        <v>43212</v>
      </c>
      <c r="C25" t="s">
        <v>702</v>
      </c>
      <c r="D25" t="s">
        <v>598</v>
      </c>
      <c r="E25" t="s">
        <v>599</v>
      </c>
      <c r="F25">
        <f>_xlfn.XLOOKUP(Orders4[[#This Row],[Order ID]],Details!$A:$A, Details!$B:$B)</f>
        <v>26</v>
      </c>
      <c r="G25">
        <f>_xlfn.XLOOKUP(Orders4[[#This Row],[Order ID]],Details!$A:$A,Details!C:C)</f>
        <v>12</v>
      </c>
      <c r="H25">
        <f>_xlfn.XLOOKUP(Orders4[[#This Row],[Order ID]],Details!$A:$A,Details!$D:$D)</f>
        <v>3</v>
      </c>
      <c r="I25" t="str">
        <f>_xlfn.XLOOKUP(Orders4[[#This Row],[Order ID]],Details!A:A,Details!$E:$E)</f>
        <v>Clothing</v>
      </c>
      <c r="J25" t="str">
        <f>_xlfn.XLOOKUP(Orders4[[#This Row],[Order ID]],Details!$A:$A,Details!$F:$F)</f>
        <v>Hankerchief</v>
      </c>
      <c r="K25" t="str">
        <f>_xlfn.XLOOKUP(Orders4[[#This Row],[Order ID]],Details!$A:$A,Details!$G:$G)</f>
        <v>COD</v>
      </c>
      <c r="L25">
        <f>Orders4[[#This Row],[Amount]]/Orders4[[#This Row],[Quantity]]</f>
        <v>8.6666666666666661</v>
      </c>
    </row>
    <row r="26" spans="1:12" x14ac:dyDescent="0.25">
      <c r="A26" t="s">
        <v>298</v>
      </c>
      <c r="B26" s="1">
        <v>43213</v>
      </c>
      <c r="C26" t="s">
        <v>709</v>
      </c>
      <c r="D26" t="s">
        <v>627</v>
      </c>
      <c r="E26" t="s">
        <v>628</v>
      </c>
      <c r="F26">
        <f>_xlfn.XLOOKUP(Orders4[[#This Row],[Order ID]],Details!$A:$A, Details!$B:$B)</f>
        <v>59</v>
      </c>
      <c r="G26">
        <f>_xlfn.XLOOKUP(Orders4[[#This Row],[Order ID]],Details!$A:$A,Details!C:C)</f>
        <v>-30</v>
      </c>
      <c r="H26">
        <f>_xlfn.XLOOKUP(Orders4[[#This Row],[Order ID]],Details!$A:$A,Details!$D:$D)</f>
        <v>3</v>
      </c>
      <c r="I26" t="str">
        <f>_xlfn.XLOOKUP(Orders4[[#This Row],[Order ID]],Details!A:A,Details!$E:$E)</f>
        <v>Clothing</v>
      </c>
      <c r="J26" t="str">
        <f>_xlfn.XLOOKUP(Orders4[[#This Row],[Order ID]],Details!$A:$A,Details!$F:$F)</f>
        <v>Leggings</v>
      </c>
      <c r="K26" t="str">
        <f>_xlfn.XLOOKUP(Orders4[[#This Row],[Order ID]],Details!$A:$A,Details!$G:$G)</f>
        <v>Debit Card</v>
      </c>
      <c r="L26">
        <f>Orders4[[#This Row],[Amount]]/Orders4[[#This Row],[Quantity]]</f>
        <v>19.666666666666668</v>
      </c>
    </row>
    <row r="27" spans="1:12" x14ac:dyDescent="0.25">
      <c r="A27" t="s">
        <v>470</v>
      </c>
      <c r="B27" s="1">
        <v>43213</v>
      </c>
      <c r="C27" t="s">
        <v>561</v>
      </c>
      <c r="D27" t="s">
        <v>543</v>
      </c>
      <c r="E27" t="s">
        <v>544</v>
      </c>
      <c r="F27">
        <f>_xlfn.XLOOKUP(Orders4[[#This Row],[Order ID]],Details!$A:$A, Details!$B:$B)</f>
        <v>46</v>
      </c>
      <c r="G27">
        <f>_xlfn.XLOOKUP(Orders4[[#This Row],[Order ID]],Details!$A:$A,Details!C:C)</f>
        <v>-14</v>
      </c>
      <c r="H27">
        <f>_xlfn.XLOOKUP(Orders4[[#This Row],[Order ID]],Details!$A:$A,Details!$D:$D)</f>
        <v>1</v>
      </c>
      <c r="I27" t="str">
        <f>_xlfn.XLOOKUP(Orders4[[#This Row],[Order ID]],Details!A:A,Details!$E:$E)</f>
        <v>Electronics</v>
      </c>
      <c r="J27" t="str">
        <f>_xlfn.XLOOKUP(Orders4[[#This Row],[Order ID]],Details!$A:$A,Details!$F:$F)</f>
        <v>Phones</v>
      </c>
      <c r="K27" t="str">
        <f>_xlfn.XLOOKUP(Orders4[[#This Row],[Order ID]],Details!$A:$A,Details!$G:$G)</f>
        <v>COD</v>
      </c>
      <c r="L27">
        <f>Orders4[[#This Row],[Amount]]/Orders4[[#This Row],[Quantity]]</f>
        <v>46</v>
      </c>
    </row>
    <row r="28" spans="1:12" x14ac:dyDescent="0.25">
      <c r="A28" t="s">
        <v>451</v>
      </c>
      <c r="B28" s="1">
        <v>43213</v>
      </c>
      <c r="C28" t="s">
        <v>676</v>
      </c>
      <c r="D28" t="s">
        <v>546</v>
      </c>
      <c r="E28" t="s">
        <v>547</v>
      </c>
      <c r="F28">
        <f>_xlfn.XLOOKUP(Orders4[[#This Row],[Order ID]],Details!$A:$A, Details!$B:$B)</f>
        <v>55</v>
      </c>
      <c r="G28">
        <f>_xlfn.XLOOKUP(Orders4[[#This Row],[Order ID]],Details!$A:$A,Details!C:C)</f>
        <v>-39</v>
      </c>
      <c r="H28">
        <f>_xlfn.XLOOKUP(Orders4[[#This Row],[Order ID]],Details!$A:$A,Details!$D:$D)</f>
        <v>4</v>
      </c>
      <c r="I28" t="str">
        <f>_xlfn.XLOOKUP(Orders4[[#This Row],[Order ID]],Details!A:A,Details!$E:$E)</f>
        <v>Clothing</v>
      </c>
      <c r="J28" t="str">
        <f>_xlfn.XLOOKUP(Orders4[[#This Row],[Order ID]],Details!$A:$A,Details!$F:$F)</f>
        <v>Stole</v>
      </c>
      <c r="K28" t="str">
        <f>_xlfn.XLOOKUP(Orders4[[#This Row],[Order ID]],Details!$A:$A,Details!$G:$G)</f>
        <v>COD</v>
      </c>
      <c r="L28">
        <f>Orders4[[#This Row],[Amount]]/Orders4[[#This Row],[Quantity]]</f>
        <v>13.75</v>
      </c>
    </row>
    <row r="29" spans="1:12" x14ac:dyDescent="0.25">
      <c r="A29" t="s">
        <v>236</v>
      </c>
      <c r="B29" s="1">
        <v>43214</v>
      </c>
      <c r="C29" t="s">
        <v>573</v>
      </c>
      <c r="D29" t="s">
        <v>568</v>
      </c>
      <c r="E29" t="s">
        <v>569</v>
      </c>
      <c r="F29">
        <f>_xlfn.XLOOKUP(Orders4[[#This Row],[Order ID]],Details!$A:$A, Details!$B:$B)</f>
        <v>35</v>
      </c>
      <c r="G29">
        <f>_xlfn.XLOOKUP(Orders4[[#This Row],[Order ID]],Details!$A:$A,Details!C:C)</f>
        <v>-8</v>
      </c>
      <c r="H29">
        <f>_xlfn.XLOOKUP(Orders4[[#This Row],[Order ID]],Details!$A:$A,Details!$D:$D)</f>
        <v>2</v>
      </c>
      <c r="I29" t="str">
        <f>_xlfn.XLOOKUP(Orders4[[#This Row],[Order ID]],Details!A:A,Details!$E:$E)</f>
        <v>Furniture</v>
      </c>
      <c r="J29" t="str">
        <f>_xlfn.XLOOKUP(Orders4[[#This Row],[Order ID]],Details!$A:$A,Details!$F:$F)</f>
        <v>Furnishings</v>
      </c>
      <c r="K29" t="str">
        <f>_xlfn.XLOOKUP(Orders4[[#This Row],[Order ID]],Details!$A:$A,Details!$G:$G)</f>
        <v>Debit Card</v>
      </c>
      <c r="L29">
        <f>Orders4[[#This Row],[Amount]]/Orders4[[#This Row],[Quantity]]</f>
        <v>17.5</v>
      </c>
    </row>
    <row r="30" spans="1:12" x14ac:dyDescent="0.25">
      <c r="A30" t="s">
        <v>529</v>
      </c>
      <c r="B30" s="1">
        <v>43214</v>
      </c>
      <c r="C30" t="s">
        <v>600</v>
      </c>
      <c r="D30" t="s">
        <v>580</v>
      </c>
      <c r="E30" t="s">
        <v>581</v>
      </c>
      <c r="F30">
        <f>_xlfn.XLOOKUP(Orders4[[#This Row],[Order ID]],Details!$A:$A, Details!$B:$B)</f>
        <v>1560</v>
      </c>
      <c r="G30">
        <f>_xlfn.XLOOKUP(Orders4[[#This Row],[Order ID]],Details!$A:$A,Details!C:C)</f>
        <v>421</v>
      </c>
      <c r="H30">
        <f>_xlfn.XLOOKUP(Orders4[[#This Row],[Order ID]],Details!$A:$A,Details!$D:$D)</f>
        <v>3</v>
      </c>
      <c r="I30" t="str">
        <f>_xlfn.XLOOKUP(Orders4[[#This Row],[Order ID]],Details!A:A,Details!$E:$E)</f>
        <v>Clothing</v>
      </c>
      <c r="J30" t="str">
        <f>_xlfn.XLOOKUP(Orders4[[#This Row],[Order ID]],Details!$A:$A,Details!$F:$F)</f>
        <v>Trousers</v>
      </c>
      <c r="K30" t="str">
        <f>_xlfn.XLOOKUP(Orders4[[#This Row],[Order ID]],Details!$A:$A,Details!$G:$G)</f>
        <v>COD</v>
      </c>
      <c r="L30">
        <f>Orders4[[#This Row],[Amount]]/Orders4[[#This Row],[Quantity]]</f>
        <v>520</v>
      </c>
    </row>
    <row r="31" spans="1:12" x14ac:dyDescent="0.25">
      <c r="A31" t="s">
        <v>229</v>
      </c>
      <c r="B31" s="1">
        <v>43214</v>
      </c>
      <c r="C31" t="s">
        <v>674</v>
      </c>
      <c r="D31" t="s">
        <v>575</v>
      </c>
      <c r="E31" t="s">
        <v>576</v>
      </c>
      <c r="F31">
        <f>_xlfn.XLOOKUP(Orders4[[#This Row],[Order ID]],Details!$A:$A, Details!$B:$B)</f>
        <v>34</v>
      </c>
      <c r="G31">
        <f>_xlfn.XLOOKUP(Orders4[[#This Row],[Order ID]],Details!$A:$A,Details!C:C)</f>
        <v>-22</v>
      </c>
      <c r="H31">
        <f>_xlfn.XLOOKUP(Orders4[[#This Row],[Order ID]],Details!$A:$A,Details!$D:$D)</f>
        <v>4</v>
      </c>
      <c r="I31" t="str">
        <f>_xlfn.XLOOKUP(Orders4[[#This Row],[Order ID]],Details!A:A,Details!$E:$E)</f>
        <v>Clothing</v>
      </c>
      <c r="J31" t="str">
        <f>_xlfn.XLOOKUP(Orders4[[#This Row],[Order ID]],Details!$A:$A,Details!$F:$F)</f>
        <v>T-shirt</v>
      </c>
      <c r="K31" t="str">
        <f>_xlfn.XLOOKUP(Orders4[[#This Row],[Order ID]],Details!$A:$A,Details!$G:$G)</f>
        <v>COD</v>
      </c>
      <c r="L31">
        <f>Orders4[[#This Row],[Amount]]/Orders4[[#This Row],[Quantity]]</f>
        <v>8.5</v>
      </c>
    </row>
    <row r="32" spans="1:12" x14ac:dyDescent="0.25">
      <c r="A32" t="s">
        <v>393</v>
      </c>
      <c r="B32" s="1">
        <v>43214</v>
      </c>
      <c r="C32" t="s">
        <v>810</v>
      </c>
      <c r="D32" t="s">
        <v>593</v>
      </c>
      <c r="E32" t="s">
        <v>576</v>
      </c>
      <c r="F32">
        <f>_xlfn.XLOOKUP(Orders4[[#This Row],[Order ID]],Details!$A:$A, Details!$B:$B)</f>
        <v>89</v>
      </c>
      <c r="G32">
        <f>_xlfn.XLOOKUP(Orders4[[#This Row],[Order ID]],Details!$A:$A,Details!C:C)</f>
        <v>-89</v>
      </c>
      <c r="H32">
        <f>_xlfn.XLOOKUP(Orders4[[#This Row],[Order ID]],Details!$A:$A,Details!$D:$D)</f>
        <v>2</v>
      </c>
      <c r="I32" t="str">
        <f>_xlfn.XLOOKUP(Orders4[[#This Row],[Order ID]],Details!A:A,Details!$E:$E)</f>
        <v>Furniture</v>
      </c>
      <c r="J32" t="str">
        <f>_xlfn.XLOOKUP(Orders4[[#This Row],[Order ID]],Details!$A:$A,Details!$F:$F)</f>
        <v>Furnishings</v>
      </c>
      <c r="K32" t="str">
        <f>_xlfn.XLOOKUP(Orders4[[#This Row],[Order ID]],Details!$A:$A,Details!$G:$G)</f>
        <v>COD</v>
      </c>
      <c r="L32">
        <f>Orders4[[#This Row],[Amount]]/Orders4[[#This Row],[Quantity]]</f>
        <v>44.5</v>
      </c>
    </row>
    <row r="33" spans="1:12" x14ac:dyDescent="0.25">
      <c r="A33" t="s">
        <v>138</v>
      </c>
      <c r="B33" s="1">
        <v>43215</v>
      </c>
      <c r="C33" t="s">
        <v>895</v>
      </c>
      <c r="D33" t="s">
        <v>571</v>
      </c>
      <c r="E33" t="s">
        <v>572</v>
      </c>
      <c r="F33">
        <f>_xlfn.XLOOKUP(Orders4[[#This Row],[Order ID]],Details!$A:$A, Details!$B:$B)</f>
        <v>19</v>
      </c>
      <c r="G33">
        <f>_xlfn.XLOOKUP(Orders4[[#This Row],[Order ID]],Details!$A:$A,Details!C:C)</f>
        <v>-2</v>
      </c>
      <c r="H33">
        <f>_xlfn.XLOOKUP(Orders4[[#This Row],[Order ID]],Details!$A:$A,Details!$D:$D)</f>
        <v>2</v>
      </c>
      <c r="I33" t="str">
        <f>_xlfn.XLOOKUP(Orders4[[#This Row],[Order ID]],Details!A:A,Details!$E:$E)</f>
        <v>Clothing</v>
      </c>
      <c r="J33" t="str">
        <f>_xlfn.XLOOKUP(Orders4[[#This Row],[Order ID]],Details!$A:$A,Details!$F:$F)</f>
        <v>Leggings</v>
      </c>
      <c r="K33" t="str">
        <f>_xlfn.XLOOKUP(Orders4[[#This Row],[Order ID]],Details!$A:$A,Details!$G:$G)</f>
        <v>Debit Card</v>
      </c>
      <c r="L33">
        <f>Orders4[[#This Row],[Amount]]/Orders4[[#This Row],[Quantity]]</f>
        <v>9.5</v>
      </c>
    </row>
    <row r="34" spans="1:12" x14ac:dyDescent="0.25">
      <c r="A34" t="s">
        <v>189</v>
      </c>
      <c r="B34" s="1">
        <v>43216</v>
      </c>
      <c r="C34" t="s">
        <v>696</v>
      </c>
      <c r="D34" t="s">
        <v>697</v>
      </c>
      <c r="E34" t="s">
        <v>698</v>
      </c>
      <c r="F34">
        <f>_xlfn.XLOOKUP(Orders4[[#This Row],[Order ID]],Details!$A:$A, Details!$B:$B)</f>
        <v>496</v>
      </c>
      <c r="G34">
        <f>_xlfn.XLOOKUP(Orders4[[#This Row],[Order ID]],Details!$A:$A,Details!C:C)</f>
        <v>-79</v>
      </c>
      <c r="H34">
        <f>_xlfn.XLOOKUP(Orders4[[#This Row],[Order ID]],Details!$A:$A,Details!$D:$D)</f>
        <v>2</v>
      </c>
      <c r="I34" t="str">
        <f>_xlfn.XLOOKUP(Orders4[[#This Row],[Order ID]],Details!A:A,Details!$E:$E)</f>
        <v>Clothing</v>
      </c>
      <c r="J34" t="str">
        <f>_xlfn.XLOOKUP(Orders4[[#This Row],[Order ID]],Details!$A:$A,Details!$F:$F)</f>
        <v>Trousers</v>
      </c>
      <c r="K34" t="str">
        <f>_xlfn.XLOOKUP(Orders4[[#This Row],[Order ID]],Details!$A:$A,Details!$G:$G)</f>
        <v>COD</v>
      </c>
      <c r="L34">
        <f>Orders4[[#This Row],[Amount]]/Orders4[[#This Row],[Quantity]]</f>
        <v>248</v>
      </c>
    </row>
    <row r="35" spans="1:12" x14ac:dyDescent="0.25">
      <c r="A35" t="s">
        <v>489</v>
      </c>
      <c r="B35" s="1">
        <v>43216</v>
      </c>
      <c r="C35" t="s">
        <v>753</v>
      </c>
      <c r="D35" t="s">
        <v>647</v>
      </c>
      <c r="E35" t="s">
        <v>647</v>
      </c>
      <c r="F35">
        <f>_xlfn.XLOOKUP(Orders4[[#This Row],[Order ID]],Details!$A:$A, Details!$B:$B)</f>
        <v>389</v>
      </c>
      <c r="G35">
        <f>_xlfn.XLOOKUP(Orders4[[#This Row],[Order ID]],Details!$A:$A,Details!C:C)</f>
        <v>-83</v>
      </c>
      <c r="H35">
        <f>_xlfn.XLOOKUP(Orders4[[#This Row],[Order ID]],Details!$A:$A,Details!$D:$D)</f>
        <v>3</v>
      </c>
      <c r="I35" t="str">
        <f>_xlfn.XLOOKUP(Orders4[[#This Row],[Order ID]],Details!A:A,Details!$E:$E)</f>
        <v>Furniture</v>
      </c>
      <c r="J35" t="str">
        <f>_xlfn.XLOOKUP(Orders4[[#This Row],[Order ID]],Details!$A:$A,Details!$F:$F)</f>
        <v>Chairs</v>
      </c>
      <c r="K35" t="str">
        <f>_xlfn.XLOOKUP(Orders4[[#This Row],[Order ID]],Details!$A:$A,Details!$G:$G)</f>
        <v>UPI</v>
      </c>
      <c r="L35">
        <f>Orders4[[#This Row],[Amount]]/Orders4[[#This Row],[Quantity]]</f>
        <v>129.66666666666666</v>
      </c>
    </row>
    <row r="36" spans="1:12" x14ac:dyDescent="0.25">
      <c r="A36" t="s">
        <v>259</v>
      </c>
      <c r="B36" s="1">
        <v>43216</v>
      </c>
      <c r="C36" t="s">
        <v>757</v>
      </c>
      <c r="D36" t="s">
        <v>584</v>
      </c>
      <c r="E36" t="s">
        <v>585</v>
      </c>
      <c r="F36">
        <f>_xlfn.XLOOKUP(Orders4[[#This Row],[Order ID]],Details!$A:$A, Details!$B:$B)</f>
        <v>40</v>
      </c>
      <c r="G36">
        <f>_xlfn.XLOOKUP(Orders4[[#This Row],[Order ID]],Details!$A:$A,Details!C:C)</f>
        <v>16</v>
      </c>
      <c r="H36">
        <f>_xlfn.XLOOKUP(Orders4[[#This Row],[Order ID]],Details!$A:$A,Details!$D:$D)</f>
        <v>3</v>
      </c>
      <c r="I36" t="str">
        <f>_xlfn.XLOOKUP(Orders4[[#This Row],[Order ID]],Details!A:A,Details!$E:$E)</f>
        <v>Clothing</v>
      </c>
      <c r="J36" t="str">
        <f>_xlfn.XLOOKUP(Orders4[[#This Row],[Order ID]],Details!$A:$A,Details!$F:$F)</f>
        <v>Hankerchief</v>
      </c>
      <c r="K36" t="str">
        <f>_xlfn.XLOOKUP(Orders4[[#This Row],[Order ID]],Details!$A:$A,Details!$G:$G)</f>
        <v>Debit Card</v>
      </c>
      <c r="L36">
        <f>Orders4[[#This Row],[Amount]]/Orders4[[#This Row],[Quantity]]</f>
        <v>13.333333333333334</v>
      </c>
    </row>
    <row r="37" spans="1:12" x14ac:dyDescent="0.25">
      <c r="A37" t="s">
        <v>505</v>
      </c>
      <c r="B37" s="1">
        <v>43216</v>
      </c>
      <c r="C37" t="s">
        <v>707</v>
      </c>
      <c r="D37" t="s">
        <v>543</v>
      </c>
      <c r="E37" t="s">
        <v>544</v>
      </c>
      <c r="F37">
        <f>_xlfn.XLOOKUP(Orders4[[#This Row],[Order ID]],Details!$A:$A, Details!$B:$B)</f>
        <v>637</v>
      </c>
      <c r="G37">
        <f>_xlfn.XLOOKUP(Orders4[[#This Row],[Order ID]],Details!$A:$A,Details!C:C)</f>
        <v>113</v>
      </c>
      <c r="H37">
        <f>_xlfn.XLOOKUP(Orders4[[#This Row],[Order ID]],Details!$A:$A,Details!$D:$D)</f>
        <v>5</v>
      </c>
      <c r="I37" t="str">
        <f>_xlfn.XLOOKUP(Orders4[[#This Row],[Order ID]],Details!A:A,Details!$E:$E)</f>
        <v>Clothing</v>
      </c>
      <c r="J37" t="str">
        <f>_xlfn.XLOOKUP(Orders4[[#This Row],[Order ID]],Details!$A:$A,Details!$F:$F)</f>
        <v>Saree</v>
      </c>
      <c r="K37" t="str">
        <f>_xlfn.XLOOKUP(Orders4[[#This Row],[Order ID]],Details!$A:$A,Details!$G:$G)</f>
        <v>UPI</v>
      </c>
      <c r="L37">
        <f>Orders4[[#This Row],[Amount]]/Orders4[[#This Row],[Quantity]]</f>
        <v>127.4</v>
      </c>
    </row>
    <row r="38" spans="1:12" x14ac:dyDescent="0.25">
      <c r="A38" t="s">
        <v>387</v>
      </c>
      <c r="B38" s="1">
        <v>43216</v>
      </c>
      <c r="C38" t="s">
        <v>849</v>
      </c>
      <c r="D38" t="s">
        <v>546</v>
      </c>
      <c r="E38" t="s">
        <v>547</v>
      </c>
      <c r="F38">
        <f>_xlfn.XLOOKUP(Orders4[[#This Row],[Order ID]],Details!$A:$A, Details!$B:$B)</f>
        <v>117</v>
      </c>
      <c r="G38">
        <f>_xlfn.XLOOKUP(Orders4[[#This Row],[Order ID]],Details!$A:$A,Details!C:C)</f>
        <v>14</v>
      </c>
      <c r="H38">
        <f>_xlfn.XLOOKUP(Orders4[[#This Row],[Order ID]],Details!$A:$A,Details!$D:$D)</f>
        <v>3</v>
      </c>
      <c r="I38" t="str">
        <f>_xlfn.XLOOKUP(Orders4[[#This Row],[Order ID]],Details!A:A,Details!$E:$E)</f>
        <v>Clothing</v>
      </c>
      <c r="J38" t="str">
        <f>_xlfn.XLOOKUP(Orders4[[#This Row],[Order ID]],Details!$A:$A,Details!$F:$F)</f>
        <v>Shirt</v>
      </c>
      <c r="K38" t="str">
        <f>_xlfn.XLOOKUP(Orders4[[#This Row],[Order ID]],Details!$A:$A,Details!$G:$G)</f>
        <v>UPI</v>
      </c>
      <c r="L38">
        <f>Orders4[[#This Row],[Amount]]/Orders4[[#This Row],[Quantity]]</f>
        <v>39</v>
      </c>
    </row>
    <row r="39" spans="1:12" x14ac:dyDescent="0.25">
      <c r="A39" t="s">
        <v>359</v>
      </c>
      <c r="B39" s="1">
        <v>43216</v>
      </c>
      <c r="C39" t="s">
        <v>608</v>
      </c>
      <c r="D39" t="s">
        <v>543</v>
      </c>
      <c r="E39" t="s">
        <v>551</v>
      </c>
      <c r="F39">
        <f>_xlfn.XLOOKUP(Orders4[[#This Row],[Order ID]],Details!$A:$A, Details!$B:$B)</f>
        <v>182</v>
      </c>
      <c r="G39">
        <f>_xlfn.XLOOKUP(Orders4[[#This Row],[Order ID]],Details!$A:$A,Details!C:C)</f>
        <v>-11</v>
      </c>
      <c r="H39">
        <f>_xlfn.XLOOKUP(Orders4[[#This Row],[Order ID]],Details!$A:$A,Details!$D:$D)</f>
        <v>3</v>
      </c>
      <c r="I39" t="str">
        <f>_xlfn.XLOOKUP(Orders4[[#This Row],[Order ID]],Details!A:A,Details!$E:$E)</f>
        <v>Furniture</v>
      </c>
      <c r="J39" t="str">
        <f>_xlfn.XLOOKUP(Orders4[[#This Row],[Order ID]],Details!$A:$A,Details!$F:$F)</f>
        <v>Bookcases</v>
      </c>
      <c r="K39" t="str">
        <f>_xlfn.XLOOKUP(Orders4[[#This Row],[Order ID]],Details!$A:$A,Details!$G:$G)</f>
        <v>Credit Card</v>
      </c>
      <c r="L39">
        <f>Orders4[[#This Row],[Amount]]/Orders4[[#This Row],[Quantity]]</f>
        <v>60.666666666666664</v>
      </c>
    </row>
    <row r="40" spans="1:12" x14ac:dyDescent="0.25">
      <c r="A40" t="s">
        <v>526</v>
      </c>
      <c r="B40" s="1">
        <v>43217</v>
      </c>
      <c r="C40" t="s">
        <v>587</v>
      </c>
      <c r="D40" t="s">
        <v>546</v>
      </c>
      <c r="E40" t="s">
        <v>578</v>
      </c>
      <c r="F40">
        <f>_xlfn.XLOOKUP(Orders4[[#This Row],[Order ID]],Details!$A:$A, Details!$B:$B)</f>
        <v>1629</v>
      </c>
      <c r="G40">
        <f>_xlfn.XLOOKUP(Orders4[[#This Row],[Order ID]],Details!$A:$A,Details!C:C)</f>
        <v>-153</v>
      </c>
      <c r="H40">
        <f>_xlfn.XLOOKUP(Orders4[[#This Row],[Order ID]],Details!$A:$A,Details!$D:$D)</f>
        <v>3</v>
      </c>
      <c r="I40" t="str">
        <f>_xlfn.XLOOKUP(Orders4[[#This Row],[Order ID]],Details!A:A,Details!$E:$E)</f>
        <v>Electronics</v>
      </c>
      <c r="J40" t="str">
        <f>_xlfn.XLOOKUP(Orders4[[#This Row],[Order ID]],Details!$A:$A,Details!$F:$F)</f>
        <v>Phones</v>
      </c>
      <c r="K40" t="str">
        <f>_xlfn.XLOOKUP(Orders4[[#This Row],[Order ID]],Details!$A:$A,Details!$G:$G)</f>
        <v>COD</v>
      </c>
      <c r="L40">
        <f>Orders4[[#This Row],[Amount]]/Orders4[[#This Row],[Quantity]]</f>
        <v>543</v>
      </c>
    </row>
    <row r="41" spans="1:12" x14ac:dyDescent="0.25">
      <c r="A41" t="s">
        <v>78</v>
      </c>
      <c r="B41" s="1">
        <v>43217</v>
      </c>
      <c r="C41" t="s">
        <v>737</v>
      </c>
      <c r="D41" t="s">
        <v>595</v>
      </c>
      <c r="E41" t="s">
        <v>635</v>
      </c>
      <c r="F41">
        <f>_xlfn.XLOOKUP(Orders4[[#This Row],[Order ID]],Details!$A:$A, Details!$B:$B)</f>
        <v>1499</v>
      </c>
      <c r="G41">
        <f>_xlfn.XLOOKUP(Orders4[[#This Row],[Order ID]],Details!$A:$A,Details!C:C)</f>
        <v>239</v>
      </c>
      <c r="H41">
        <f>_xlfn.XLOOKUP(Orders4[[#This Row],[Order ID]],Details!$A:$A,Details!$D:$D)</f>
        <v>13</v>
      </c>
      <c r="I41" t="str">
        <f>_xlfn.XLOOKUP(Orders4[[#This Row],[Order ID]],Details!A:A,Details!$E:$E)</f>
        <v>Clothing</v>
      </c>
      <c r="J41" t="str">
        <f>_xlfn.XLOOKUP(Orders4[[#This Row],[Order ID]],Details!$A:$A,Details!$F:$F)</f>
        <v>Saree</v>
      </c>
      <c r="K41" t="str">
        <f>_xlfn.XLOOKUP(Orders4[[#This Row],[Order ID]],Details!$A:$A,Details!$G:$G)</f>
        <v>Credit Card</v>
      </c>
      <c r="L41">
        <f>Orders4[[#This Row],[Amount]]/Orders4[[#This Row],[Quantity]]</f>
        <v>115.30769230769231</v>
      </c>
    </row>
    <row r="42" spans="1:12" x14ac:dyDescent="0.25">
      <c r="A42" t="s">
        <v>369</v>
      </c>
      <c r="B42" s="1">
        <v>43217</v>
      </c>
      <c r="C42" t="s">
        <v>617</v>
      </c>
      <c r="D42" t="s">
        <v>618</v>
      </c>
      <c r="E42" t="s">
        <v>619</v>
      </c>
      <c r="F42">
        <f>_xlfn.XLOOKUP(Orders4[[#This Row],[Order ID]],Details!$A:$A, Details!$B:$B)</f>
        <v>22</v>
      </c>
      <c r="G42">
        <f>_xlfn.XLOOKUP(Orders4[[#This Row],[Order ID]],Details!$A:$A,Details!C:C)</f>
        <v>-6</v>
      </c>
      <c r="H42">
        <f>_xlfn.XLOOKUP(Orders4[[#This Row],[Order ID]],Details!$A:$A,Details!$D:$D)</f>
        <v>1</v>
      </c>
      <c r="I42" t="str">
        <f>_xlfn.XLOOKUP(Orders4[[#This Row],[Order ID]],Details!A:A,Details!$E:$E)</f>
        <v>Furniture</v>
      </c>
      <c r="J42" t="str">
        <f>_xlfn.XLOOKUP(Orders4[[#This Row],[Order ID]],Details!$A:$A,Details!$F:$F)</f>
        <v>Furnishings</v>
      </c>
      <c r="K42" t="str">
        <f>_xlfn.XLOOKUP(Orders4[[#This Row],[Order ID]],Details!$A:$A,Details!$G:$G)</f>
        <v>COD</v>
      </c>
      <c r="L42">
        <f>Orders4[[#This Row],[Amount]]/Orders4[[#This Row],[Quantity]]</f>
        <v>22</v>
      </c>
    </row>
    <row r="43" spans="1:12" x14ac:dyDescent="0.25">
      <c r="A43" t="s">
        <v>247</v>
      </c>
      <c r="B43" s="1">
        <v>43218</v>
      </c>
      <c r="C43" t="s">
        <v>681</v>
      </c>
      <c r="D43" t="s">
        <v>598</v>
      </c>
      <c r="E43" t="s">
        <v>599</v>
      </c>
      <c r="F43">
        <f>_xlfn.XLOOKUP(Orders4[[#This Row],[Order ID]],Details!$A:$A, Details!$B:$B)</f>
        <v>434</v>
      </c>
      <c r="G43">
        <f>_xlfn.XLOOKUP(Orders4[[#This Row],[Order ID]],Details!$A:$A,Details!C:C)</f>
        <v>26</v>
      </c>
      <c r="H43">
        <f>_xlfn.XLOOKUP(Orders4[[#This Row],[Order ID]],Details!$A:$A,Details!$D:$D)</f>
        <v>11</v>
      </c>
      <c r="I43" t="str">
        <f>_xlfn.XLOOKUP(Orders4[[#This Row],[Order ID]],Details!A:A,Details!$E:$E)</f>
        <v>Clothing</v>
      </c>
      <c r="J43" t="str">
        <f>_xlfn.XLOOKUP(Orders4[[#This Row],[Order ID]],Details!$A:$A,Details!$F:$F)</f>
        <v>Shirt</v>
      </c>
      <c r="K43" t="str">
        <f>_xlfn.XLOOKUP(Orders4[[#This Row],[Order ID]],Details!$A:$A,Details!$G:$G)</f>
        <v>Credit Card</v>
      </c>
      <c r="L43">
        <f>Orders4[[#This Row],[Amount]]/Orders4[[#This Row],[Quantity]]</f>
        <v>39.454545454545453</v>
      </c>
    </row>
    <row r="44" spans="1:12" x14ac:dyDescent="0.25">
      <c r="A44" t="s">
        <v>29</v>
      </c>
      <c r="B44" s="1">
        <v>43219</v>
      </c>
      <c r="C44" t="s">
        <v>653</v>
      </c>
      <c r="D44" t="s">
        <v>627</v>
      </c>
      <c r="E44" t="s">
        <v>628</v>
      </c>
      <c r="F44">
        <f>_xlfn.XLOOKUP(Orders4[[#This Row],[Order ID]],Details!$A:$A, Details!$B:$B)</f>
        <v>50</v>
      </c>
      <c r="G44">
        <f>_xlfn.XLOOKUP(Orders4[[#This Row],[Order ID]],Details!$A:$A,Details!C:C)</f>
        <v>-44</v>
      </c>
      <c r="H44">
        <f>_xlfn.XLOOKUP(Orders4[[#This Row],[Order ID]],Details!$A:$A,Details!$D:$D)</f>
        <v>2</v>
      </c>
      <c r="I44" t="str">
        <f>_xlfn.XLOOKUP(Orders4[[#This Row],[Order ID]],Details!A:A,Details!$E:$E)</f>
        <v>Clothing</v>
      </c>
      <c r="J44" t="str">
        <f>_xlfn.XLOOKUP(Orders4[[#This Row],[Order ID]],Details!$A:$A,Details!$F:$F)</f>
        <v>Hankerchief</v>
      </c>
      <c r="K44" t="str">
        <f>_xlfn.XLOOKUP(Orders4[[#This Row],[Order ID]],Details!$A:$A,Details!$G:$G)</f>
        <v>UPI</v>
      </c>
      <c r="L44">
        <f>Orders4[[#This Row],[Amount]]/Orders4[[#This Row],[Quantity]]</f>
        <v>25</v>
      </c>
    </row>
    <row r="45" spans="1:12" x14ac:dyDescent="0.25">
      <c r="A45" t="s">
        <v>411</v>
      </c>
      <c r="B45" s="1">
        <v>43220</v>
      </c>
      <c r="C45" t="s">
        <v>721</v>
      </c>
      <c r="D45" t="s">
        <v>543</v>
      </c>
      <c r="E45" t="s">
        <v>544</v>
      </c>
      <c r="F45">
        <f>_xlfn.XLOOKUP(Orders4[[#This Row],[Order ID]],Details!$A:$A, Details!$B:$B)</f>
        <v>76</v>
      </c>
      <c r="G45">
        <f>_xlfn.XLOOKUP(Orders4[[#This Row],[Order ID]],Details!$A:$A,Details!C:C)</f>
        <v>-92</v>
      </c>
      <c r="H45">
        <f>_xlfn.XLOOKUP(Orders4[[#This Row],[Order ID]],Details!$A:$A,Details!$D:$D)</f>
        <v>8</v>
      </c>
      <c r="I45" t="str">
        <f>_xlfn.XLOOKUP(Orders4[[#This Row],[Order ID]],Details!A:A,Details!$E:$E)</f>
        <v>Furniture</v>
      </c>
      <c r="J45" t="str">
        <f>_xlfn.XLOOKUP(Orders4[[#This Row],[Order ID]],Details!$A:$A,Details!$F:$F)</f>
        <v>Furnishings</v>
      </c>
      <c r="K45" t="str">
        <f>_xlfn.XLOOKUP(Orders4[[#This Row],[Order ID]],Details!$A:$A,Details!$G:$G)</f>
        <v>COD</v>
      </c>
      <c r="L45">
        <f>Orders4[[#This Row],[Amount]]/Orders4[[#This Row],[Quantity]]</f>
        <v>9.5</v>
      </c>
    </row>
    <row r="46" spans="1:12" x14ac:dyDescent="0.25">
      <c r="A46" t="s">
        <v>258</v>
      </c>
      <c r="B46" s="1">
        <v>43221</v>
      </c>
      <c r="C46" t="s">
        <v>783</v>
      </c>
      <c r="D46" t="s">
        <v>546</v>
      </c>
      <c r="E46" t="s">
        <v>547</v>
      </c>
      <c r="F46">
        <f>_xlfn.XLOOKUP(Orders4[[#This Row],[Order ID]],Details!$A:$A, Details!$B:$B)</f>
        <v>273</v>
      </c>
      <c r="G46">
        <f>_xlfn.XLOOKUP(Orders4[[#This Row],[Order ID]],Details!$A:$A,Details!C:C)</f>
        <v>-87</v>
      </c>
      <c r="H46">
        <f>_xlfn.XLOOKUP(Orders4[[#This Row],[Order ID]],Details!$A:$A,Details!$D:$D)</f>
        <v>4</v>
      </c>
      <c r="I46" t="str">
        <f>_xlfn.XLOOKUP(Orders4[[#This Row],[Order ID]],Details!A:A,Details!$E:$E)</f>
        <v>Electronics</v>
      </c>
      <c r="J46" t="str">
        <f>_xlfn.XLOOKUP(Orders4[[#This Row],[Order ID]],Details!$A:$A,Details!$F:$F)</f>
        <v>Phones</v>
      </c>
      <c r="K46" t="str">
        <f>_xlfn.XLOOKUP(Orders4[[#This Row],[Order ID]],Details!$A:$A,Details!$G:$G)</f>
        <v>COD</v>
      </c>
      <c r="L46">
        <f>Orders4[[#This Row],[Amount]]/Orders4[[#This Row],[Quantity]]</f>
        <v>68.25</v>
      </c>
    </row>
    <row r="47" spans="1:12" x14ac:dyDescent="0.25">
      <c r="A47" t="s">
        <v>357</v>
      </c>
      <c r="B47" s="1">
        <v>43221</v>
      </c>
      <c r="C47" t="s">
        <v>747</v>
      </c>
      <c r="D47" t="s">
        <v>568</v>
      </c>
      <c r="E47" t="s">
        <v>569</v>
      </c>
      <c r="F47">
        <f>_xlfn.XLOOKUP(Orders4[[#This Row],[Order ID]],Details!$A:$A, Details!$B:$B)</f>
        <v>299</v>
      </c>
      <c r="G47">
        <f>_xlfn.XLOOKUP(Orders4[[#This Row],[Order ID]],Details!$A:$A,Details!C:C)</f>
        <v>-8</v>
      </c>
      <c r="H47">
        <f>_xlfn.XLOOKUP(Orders4[[#This Row],[Order ID]],Details!$A:$A,Details!$D:$D)</f>
        <v>2</v>
      </c>
      <c r="I47" t="str">
        <f>_xlfn.XLOOKUP(Orders4[[#This Row],[Order ID]],Details!A:A,Details!$E:$E)</f>
        <v>Clothing</v>
      </c>
      <c r="J47" t="str">
        <f>_xlfn.XLOOKUP(Orders4[[#This Row],[Order ID]],Details!$A:$A,Details!$F:$F)</f>
        <v>Saree</v>
      </c>
      <c r="K47" t="str">
        <f>_xlfn.XLOOKUP(Orders4[[#This Row],[Order ID]],Details!$A:$A,Details!$G:$G)</f>
        <v>COD</v>
      </c>
      <c r="L47">
        <f>Orders4[[#This Row],[Amount]]/Orders4[[#This Row],[Quantity]]</f>
        <v>149.5</v>
      </c>
    </row>
    <row r="48" spans="1:12" x14ac:dyDescent="0.25">
      <c r="A48" t="s">
        <v>377</v>
      </c>
      <c r="B48" s="1">
        <v>43223</v>
      </c>
      <c r="C48" t="s">
        <v>692</v>
      </c>
      <c r="D48" t="s">
        <v>580</v>
      </c>
      <c r="E48" t="s">
        <v>581</v>
      </c>
      <c r="F48">
        <f>_xlfn.XLOOKUP(Orders4[[#This Row],[Order ID]],Details!$A:$A, Details!$B:$B)</f>
        <v>42</v>
      </c>
      <c r="G48">
        <f>_xlfn.XLOOKUP(Orders4[[#This Row],[Order ID]],Details!$A:$A,Details!C:C)</f>
        <v>-6</v>
      </c>
      <c r="H48">
        <f>_xlfn.XLOOKUP(Orders4[[#This Row],[Order ID]],Details!$A:$A,Details!$D:$D)</f>
        <v>4</v>
      </c>
      <c r="I48" t="str">
        <f>_xlfn.XLOOKUP(Orders4[[#This Row],[Order ID]],Details!A:A,Details!$E:$E)</f>
        <v>Clothing</v>
      </c>
      <c r="J48" t="str">
        <f>_xlfn.XLOOKUP(Orders4[[#This Row],[Order ID]],Details!$A:$A,Details!$F:$F)</f>
        <v>Saree</v>
      </c>
      <c r="K48" t="str">
        <f>_xlfn.XLOOKUP(Orders4[[#This Row],[Order ID]],Details!$A:$A,Details!$G:$G)</f>
        <v>UPI</v>
      </c>
      <c r="L48">
        <f>Orders4[[#This Row],[Amount]]/Orders4[[#This Row],[Quantity]]</f>
        <v>10.5</v>
      </c>
    </row>
    <row r="49" spans="1:12" x14ac:dyDescent="0.25">
      <c r="A49" t="s">
        <v>218</v>
      </c>
      <c r="B49" s="1">
        <v>43224</v>
      </c>
      <c r="C49" t="s">
        <v>794</v>
      </c>
      <c r="D49" t="s">
        <v>575</v>
      </c>
      <c r="E49" t="s">
        <v>576</v>
      </c>
      <c r="F49">
        <f>_xlfn.XLOOKUP(Orders4[[#This Row],[Order ID]],Details!$A:$A, Details!$B:$B)</f>
        <v>30</v>
      </c>
      <c r="G49">
        <f>_xlfn.XLOOKUP(Orders4[[#This Row],[Order ID]],Details!$A:$A,Details!C:C)</f>
        <v>13</v>
      </c>
      <c r="H49">
        <f>_xlfn.XLOOKUP(Orders4[[#This Row],[Order ID]],Details!$A:$A,Details!$D:$D)</f>
        <v>1</v>
      </c>
      <c r="I49" t="str">
        <f>_xlfn.XLOOKUP(Orders4[[#This Row],[Order ID]],Details!A:A,Details!$E:$E)</f>
        <v>Clothing</v>
      </c>
      <c r="J49" t="str">
        <f>_xlfn.XLOOKUP(Orders4[[#This Row],[Order ID]],Details!$A:$A,Details!$F:$F)</f>
        <v>T-shirt</v>
      </c>
      <c r="K49" t="str">
        <f>_xlfn.XLOOKUP(Orders4[[#This Row],[Order ID]],Details!$A:$A,Details!$G:$G)</f>
        <v>UPI</v>
      </c>
      <c r="L49">
        <f>Orders4[[#This Row],[Amount]]/Orders4[[#This Row],[Quantity]]</f>
        <v>30</v>
      </c>
    </row>
    <row r="50" spans="1:12" x14ac:dyDescent="0.25">
      <c r="A50" t="s">
        <v>506</v>
      </c>
      <c r="B50" s="1">
        <v>43225</v>
      </c>
      <c r="C50" t="s">
        <v>903</v>
      </c>
      <c r="D50" t="s">
        <v>593</v>
      </c>
      <c r="E50" t="s">
        <v>576</v>
      </c>
      <c r="F50">
        <f>_xlfn.XLOOKUP(Orders4[[#This Row],[Order ID]],Details!$A:$A, Details!$B:$B)</f>
        <v>27</v>
      </c>
      <c r="G50">
        <f>_xlfn.XLOOKUP(Orders4[[#This Row],[Order ID]],Details!$A:$A,Details!C:C)</f>
        <v>-25</v>
      </c>
      <c r="H50">
        <f>_xlfn.XLOOKUP(Orders4[[#This Row],[Order ID]],Details!$A:$A,Details!$D:$D)</f>
        <v>2</v>
      </c>
      <c r="I50" t="str">
        <f>_xlfn.XLOOKUP(Orders4[[#This Row],[Order ID]],Details!A:A,Details!$E:$E)</f>
        <v>Clothing</v>
      </c>
      <c r="J50" t="str">
        <f>_xlfn.XLOOKUP(Orders4[[#This Row],[Order ID]],Details!$A:$A,Details!$F:$F)</f>
        <v>Stole</v>
      </c>
      <c r="K50" t="str">
        <f>_xlfn.XLOOKUP(Orders4[[#This Row],[Order ID]],Details!$A:$A,Details!$G:$G)</f>
        <v>COD</v>
      </c>
      <c r="L50">
        <f>Orders4[[#This Row],[Amount]]/Orders4[[#This Row],[Quantity]]</f>
        <v>13.5</v>
      </c>
    </row>
    <row r="51" spans="1:12" x14ac:dyDescent="0.25">
      <c r="A51" t="s">
        <v>135</v>
      </c>
      <c r="B51" s="1">
        <v>43226</v>
      </c>
      <c r="C51" t="s">
        <v>661</v>
      </c>
      <c r="D51" t="s">
        <v>543</v>
      </c>
      <c r="E51" t="s">
        <v>544</v>
      </c>
      <c r="F51">
        <f>_xlfn.XLOOKUP(Orders4[[#This Row],[Order ID]],Details!$A:$A, Details!$B:$B)</f>
        <v>512</v>
      </c>
      <c r="G51">
        <f>_xlfn.XLOOKUP(Orders4[[#This Row],[Order ID]],Details!$A:$A,Details!C:C)</f>
        <v>-225</v>
      </c>
      <c r="H51">
        <f>_xlfn.XLOOKUP(Orders4[[#This Row],[Order ID]],Details!$A:$A,Details!$D:$D)</f>
        <v>5</v>
      </c>
      <c r="I51" t="str">
        <f>_xlfn.XLOOKUP(Orders4[[#This Row],[Order ID]],Details!A:A,Details!$E:$E)</f>
        <v>Clothing</v>
      </c>
      <c r="J51" t="str">
        <f>_xlfn.XLOOKUP(Orders4[[#This Row],[Order ID]],Details!$A:$A,Details!$F:$F)</f>
        <v>Saree</v>
      </c>
      <c r="K51" t="str">
        <f>_xlfn.XLOOKUP(Orders4[[#This Row],[Order ID]],Details!$A:$A,Details!$G:$G)</f>
        <v>COD</v>
      </c>
      <c r="L51">
        <f>Orders4[[#This Row],[Amount]]/Orders4[[#This Row],[Quantity]]</f>
        <v>102.4</v>
      </c>
    </row>
    <row r="52" spans="1:12" x14ac:dyDescent="0.25">
      <c r="A52" t="s">
        <v>119</v>
      </c>
      <c r="B52" s="1">
        <v>43227</v>
      </c>
      <c r="C52" t="s">
        <v>657</v>
      </c>
      <c r="D52" t="s">
        <v>546</v>
      </c>
      <c r="E52" t="s">
        <v>547</v>
      </c>
      <c r="F52">
        <f>_xlfn.XLOOKUP(Orders4[[#This Row],[Order ID]],Details!$A:$A, Details!$B:$B)</f>
        <v>823</v>
      </c>
      <c r="G52">
        <f>_xlfn.XLOOKUP(Orders4[[#This Row],[Order ID]],Details!$A:$A,Details!C:C)</f>
        <v>-18</v>
      </c>
      <c r="H52">
        <f>_xlfn.XLOOKUP(Orders4[[#This Row],[Order ID]],Details!$A:$A,Details!$D:$D)</f>
        <v>7</v>
      </c>
      <c r="I52" t="str">
        <f>_xlfn.XLOOKUP(Orders4[[#This Row],[Order ID]],Details!A:A,Details!$E:$E)</f>
        <v>Furniture</v>
      </c>
      <c r="J52" t="str">
        <f>_xlfn.XLOOKUP(Orders4[[#This Row],[Order ID]],Details!$A:$A,Details!$F:$F)</f>
        <v>Chairs</v>
      </c>
      <c r="K52" t="str">
        <f>_xlfn.XLOOKUP(Orders4[[#This Row],[Order ID]],Details!$A:$A,Details!$G:$G)</f>
        <v>COD</v>
      </c>
      <c r="L52">
        <f>Orders4[[#This Row],[Amount]]/Orders4[[#This Row],[Quantity]]</f>
        <v>117.57142857142857</v>
      </c>
    </row>
    <row r="53" spans="1:12" x14ac:dyDescent="0.25">
      <c r="A53" t="s">
        <v>308</v>
      </c>
      <c r="B53" s="1">
        <v>43228</v>
      </c>
      <c r="C53" t="s">
        <v>797</v>
      </c>
      <c r="D53" t="s">
        <v>647</v>
      </c>
      <c r="E53" t="s">
        <v>647</v>
      </c>
      <c r="F53">
        <f>_xlfn.XLOOKUP(Orders4[[#This Row],[Order ID]],Details!$A:$A, Details!$B:$B)</f>
        <v>206</v>
      </c>
      <c r="G53">
        <f>_xlfn.XLOOKUP(Orders4[[#This Row],[Order ID]],Details!$A:$A,Details!C:C)</f>
        <v>-206</v>
      </c>
      <c r="H53">
        <f>_xlfn.XLOOKUP(Orders4[[#This Row],[Order ID]],Details!$A:$A,Details!$D:$D)</f>
        <v>3</v>
      </c>
      <c r="I53" t="str">
        <f>_xlfn.XLOOKUP(Orders4[[#This Row],[Order ID]],Details!A:A,Details!$E:$E)</f>
        <v>Clothing</v>
      </c>
      <c r="J53" t="str">
        <f>_xlfn.XLOOKUP(Orders4[[#This Row],[Order ID]],Details!$A:$A,Details!$F:$F)</f>
        <v>Saree</v>
      </c>
      <c r="K53" t="str">
        <f>_xlfn.XLOOKUP(Orders4[[#This Row],[Order ID]],Details!$A:$A,Details!$G:$G)</f>
        <v>COD</v>
      </c>
      <c r="L53">
        <f>Orders4[[#This Row],[Amount]]/Orders4[[#This Row],[Quantity]]</f>
        <v>68.666666666666671</v>
      </c>
    </row>
    <row r="54" spans="1:12" x14ac:dyDescent="0.25">
      <c r="A54" t="s">
        <v>117</v>
      </c>
      <c r="B54" s="1">
        <v>43228</v>
      </c>
      <c r="C54" t="s">
        <v>620</v>
      </c>
      <c r="D54" t="s">
        <v>584</v>
      </c>
      <c r="E54" t="s">
        <v>585</v>
      </c>
      <c r="F54">
        <f>_xlfn.XLOOKUP(Orders4[[#This Row],[Order ID]],Details!$A:$A, Details!$B:$B)</f>
        <v>1279</v>
      </c>
      <c r="G54">
        <f>_xlfn.XLOOKUP(Orders4[[#This Row],[Order ID]],Details!$A:$A,Details!C:C)</f>
        <v>-640</v>
      </c>
      <c r="H54">
        <f>_xlfn.XLOOKUP(Orders4[[#This Row],[Order ID]],Details!$A:$A,Details!$D:$D)</f>
        <v>8</v>
      </c>
      <c r="I54" t="str">
        <f>_xlfn.XLOOKUP(Orders4[[#This Row],[Order ID]],Details!A:A,Details!$E:$E)</f>
        <v>Electronics</v>
      </c>
      <c r="J54" t="str">
        <f>_xlfn.XLOOKUP(Orders4[[#This Row],[Order ID]],Details!$A:$A,Details!$F:$F)</f>
        <v>Printers</v>
      </c>
      <c r="K54" t="str">
        <f>_xlfn.XLOOKUP(Orders4[[#This Row],[Order ID]],Details!$A:$A,Details!$G:$G)</f>
        <v>EMI</v>
      </c>
      <c r="L54">
        <f>Orders4[[#This Row],[Amount]]/Orders4[[#This Row],[Quantity]]</f>
        <v>159.875</v>
      </c>
    </row>
    <row r="55" spans="1:12" x14ac:dyDescent="0.25">
      <c r="A55" t="s">
        <v>205</v>
      </c>
      <c r="B55" s="1">
        <v>43230</v>
      </c>
      <c r="C55" t="s">
        <v>744</v>
      </c>
      <c r="D55" t="s">
        <v>543</v>
      </c>
      <c r="E55" t="s">
        <v>544</v>
      </c>
      <c r="F55">
        <f>_xlfn.XLOOKUP(Orders4[[#This Row],[Order ID]],Details!$A:$A, Details!$B:$B)</f>
        <v>450</v>
      </c>
      <c r="G55">
        <f>_xlfn.XLOOKUP(Orders4[[#This Row],[Order ID]],Details!$A:$A,Details!C:C)</f>
        <v>-90</v>
      </c>
      <c r="H55">
        <f>_xlfn.XLOOKUP(Orders4[[#This Row],[Order ID]],Details!$A:$A,Details!$D:$D)</f>
        <v>3</v>
      </c>
      <c r="I55" t="str">
        <f>_xlfn.XLOOKUP(Orders4[[#This Row],[Order ID]],Details!A:A,Details!$E:$E)</f>
        <v>Electronics</v>
      </c>
      <c r="J55" t="str">
        <f>_xlfn.XLOOKUP(Orders4[[#This Row],[Order ID]],Details!$A:$A,Details!$F:$F)</f>
        <v>Printers</v>
      </c>
      <c r="K55" t="str">
        <f>_xlfn.XLOOKUP(Orders4[[#This Row],[Order ID]],Details!$A:$A,Details!$G:$G)</f>
        <v>COD</v>
      </c>
      <c r="L55">
        <f>Orders4[[#This Row],[Amount]]/Orders4[[#This Row],[Quantity]]</f>
        <v>150</v>
      </c>
    </row>
    <row r="56" spans="1:12" x14ac:dyDescent="0.25">
      <c r="A56" t="s">
        <v>38</v>
      </c>
      <c r="B56" s="1">
        <v>43231</v>
      </c>
      <c r="C56" t="s">
        <v>751</v>
      </c>
      <c r="D56" t="s">
        <v>546</v>
      </c>
      <c r="E56" t="s">
        <v>547</v>
      </c>
      <c r="F56">
        <f>_xlfn.XLOOKUP(Orders4[[#This Row],[Order ID]],Details!$A:$A, Details!$B:$B)</f>
        <v>6</v>
      </c>
      <c r="G56">
        <f>_xlfn.XLOOKUP(Orders4[[#This Row],[Order ID]],Details!$A:$A,Details!C:C)</f>
        <v>-3</v>
      </c>
      <c r="H56">
        <f>_xlfn.XLOOKUP(Orders4[[#This Row],[Order ID]],Details!$A:$A,Details!$D:$D)</f>
        <v>1</v>
      </c>
      <c r="I56" t="str">
        <f>_xlfn.XLOOKUP(Orders4[[#This Row],[Order ID]],Details!A:A,Details!$E:$E)</f>
        <v>Clothing</v>
      </c>
      <c r="J56" t="str">
        <f>_xlfn.XLOOKUP(Orders4[[#This Row],[Order ID]],Details!$A:$A,Details!$F:$F)</f>
        <v>Hankerchief</v>
      </c>
      <c r="K56" t="str">
        <f>_xlfn.XLOOKUP(Orders4[[#This Row],[Order ID]],Details!$A:$A,Details!$G:$G)</f>
        <v>UPI</v>
      </c>
      <c r="L56">
        <f>Orders4[[#This Row],[Amount]]/Orders4[[#This Row],[Quantity]]</f>
        <v>6</v>
      </c>
    </row>
    <row r="57" spans="1:12" x14ac:dyDescent="0.25">
      <c r="A57" t="s">
        <v>123</v>
      </c>
      <c r="B57" s="1">
        <v>43231</v>
      </c>
      <c r="C57" t="s">
        <v>610</v>
      </c>
      <c r="D57" t="s">
        <v>543</v>
      </c>
      <c r="E57" t="s">
        <v>551</v>
      </c>
      <c r="F57">
        <f>_xlfn.XLOOKUP(Orders4[[#This Row],[Order ID]],Details!$A:$A, Details!$B:$B)</f>
        <v>24</v>
      </c>
      <c r="G57">
        <f>_xlfn.XLOOKUP(Orders4[[#This Row],[Order ID]],Details!$A:$A,Details!C:C)</f>
        <v>-1</v>
      </c>
      <c r="H57">
        <f>_xlfn.XLOOKUP(Orders4[[#This Row],[Order ID]],Details!$A:$A,Details!$D:$D)</f>
        <v>2</v>
      </c>
      <c r="I57" t="str">
        <f>_xlfn.XLOOKUP(Orders4[[#This Row],[Order ID]],Details!A:A,Details!$E:$E)</f>
        <v>Clothing</v>
      </c>
      <c r="J57" t="str">
        <f>_xlfn.XLOOKUP(Orders4[[#This Row],[Order ID]],Details!$A:$A,Details!$F:$F)</f>
        <v>Hankerchief</v>
      </c>
      <c r="K57" t="str">
        <f>_xlfn.XLOOKUP(Orders4[[#This Row],[Order ID]],Details!$A:$A,Details!$G:$G)</f>
        <v>COD</v>
      </c>
      <c r="L57">
        <f>Orders4[[#This Row],[Amount]]/Orders4[[#This Row],[Quantity]]</f>
        <v>12</v>
      </c>
    </row>
    <row r="58" spans="1:12" x14ac:dyDescent="0.25">
      <c r="A58" t="s">
        <v>143</v>
      </c>
      <c r="B58" s="1">
        <v>43233</v>
      </c>
      <c r="C58" t="s">
        <v>644</v>
      </c>
      <c r="D58" t="s">
        <v>546</v>
      </c>
      <c r="E58" t="s">
        <v>578</v>
      </c>
      <c r="F58">
        <f>_xlfn.XLOOKUP(Orders4[[#This Row],[Order ID]],Details!$A:$A, Details!$B:$B)</f>
        <v>1021</v>
      </c>
      <c r="G58">
        <f>_xlfn.XLOOKUP(Orders4[[#This Row],[Order ID]],Details!$A:$A,Details!C:C)</f>
        <v>-48</v>
      </c>
      <c r="H58">
        <f>_xlfn.XLOOKUP(Orders4[[#This Row],[Order ID]],Details!$A:$A,Details!$D:$D)</f>
        <v>4</v>
      </c>
      <c r="I58" t="str">
        <f>_xlfn.XLOOKUP(Orders4[[#This Row],[Order ID]],Details!A:A,Details!$E:$E)</f>
        <v>Electronics</v>
      </c>
      <c r="J58" t="str">
        <f>_xlfn.XLOOKUP(Orders4[[#This Row],[Order ID]],Details!$A:$A,Details!$F:$F)</f>
        <v>Electronic Games</v>
      </c>
      <c r="K58" t="str">
        <f>_xlfn.XLOOKUP(Orders4[[#This Row],[Order ID]],Details!$A:$A,Details!$G:$G)</f>
        <v>EMI</v>
      </c>
      <c r="L58">
        <f>Orders4[[#This Row],[Amount]]/Orders4[[#This Row],[Quantity]]</f>
        <v>255.25</v>
      </c>
    </row>
    <row r="59" spans="1:12" x14ac:dyDescent="0.25">
      <c r="A59" t="s">
        <v>181</v>
      </c>
      <c r="B59" s="1">
        <v>43234</v>
      </c>
      <c r="C59" t="s">
        <v>804</v>
      </c>
      <c r="D59" t="s">
        <v>595</v>
      </c>
      <c r="E59" t="s">
        <v>635</v>
      </c>
      <c r="F59">
        <f>_xlfn.XLOOKUP(Orders4[[#This Row],[Order ID]],Details!$A:$A, Details!$B:$B)</f>
        <v>27</v>
      </c>
      <c r="G59">
        <f>_xlfn.XLOOKUP(Orders4[[#This Row],[Order ID]],Details!$A:$A,Details!C:C)</f>
        <v>9</v>
      </c>
      <c r="H59">
        <f>_xlfn.XLOOKUP(Orders4[[#This Row],[Order ID]],Details!$A:$A,Details!$D:$D)</f>
        <v>2</v>
      </c>
      <c r="I59" t="str">
        <f>_xlfn.XLOOKUP(Orders4[[#This Row],[Order ID]],Details!A:A,Details!$E:$E)</f>
        <v>Clothing</v>
      </c>
      <c r="J59" t="str">
        <f>_xlfn.XLOOKUP(Orders4[[#This Row],[Order ID]],Details!$A:$A,Details!$F:$F)</f>
        <v>T-shirt</v>
      </c>
      <c r="K59" t="str">
        <f>_xlfn.XLOOKUP(Orders4[[#This Row],[Order ID]],Details!$A:$A,Details!$G:$G)</f>
        <v>UPI</v>
      </c>
      <c r="L59">
        <f>Orders4[[#This Row],[Amount]]/Orders4[[#This Row],[Quantity]]</f>
        <v>13.5</v>
      </c>
    </row>
    <row r="60" spans="1:12" x14ac:dyDescent="0.25">
      <c r="A60" t="s">
        <v>416</v>
      </c>
      <c r="B60" s="1">
        <v>43235</v>
      </c>
      <c r="C60" t="s">
        <v>827</v>
      </c>
      <c r="D60" t="s">
        <v>618</v>
      </c>
      <c r="E60" t="s">
        <v>619</v>
      </c>
      <c r="F60">
        <f>_xlfn.XLOOKUP(Orders4[[#This Row],[Order ID]],Details!$A:$A, Details!$B:$B)</f>
        <v>148</v>
      </c>
      <c r="G60">
        <f>_xlfn.XLOOKUP(Orders4[[#This Row],[Order ID]],Details!$A:$A,Details!C:C)</f>
        <v>72</v>
      </c>
      <c r="H60">
        <f>_xlfn.XLOOKUP(Orders4[[#This Row],[Order ID]],Details!$A:$A,Details!$D:$D)</f>
        <v>7</v>
      </c>
      <c r="I60" t="str">
        <f>_xlfn.XLOOKUP(Orders4[[#This Row],[Order ID]],Details!A:A,Details!$E:$E)</f>
        <v>Clothing</v>
      </c>
      <c r="J60" t="str">
        <f>_xlfn.XLOOKUP(Orders4[[#This Row],[Order ID]],Details!$A:$A,Details!$F:$F)</f>
        <v>T-shirt</v>
      </c>
      <c r="K60" t="str">
        <f>_xlfn.XLOOKUP(Orders4[[#This Row],[Order ID]],Details!$A:$A,Details!$G:$G)</f>
        <v>Debit Card</v>
      </c>
      <c r="L60">
        <f>Orders4[[#This Row],[Amount]]/Orders4[[#This Row],[Quantity]]</f>
        <v>21.142857142857142</v>
      </c>
    </row>
    <row r="61" spans="1:12" x14ac:dyDescent="0.25">
      <c r="A61" t="s">
        <v>274</v>
      </c>
      <c r="B61" s="1">
        <v>43236</v>
      </c>
      <c r="C61" t="s">
        <v>591</v>
      </c>
      <c r="D61" t="s">
        <v>598</v>
      </c>
      <c r="E61" t="s">
        <v>599</v>
      </c>
      <c r="F61">
        <f>_xlfn.XLOOKUP(Orders4[[#This Row],[Order ID]],Details!$A:$A, Details!$B:$B)</f>
        <v>245</v>
      </c>
      <c r="G61">
        <f>_xlfn.XLOOKUP(Orders4[[#This Row],[Order ID]],Details!$A:$A,Details!C:C)</f>
        <v>-78</v>
      </c>
      <c r="H61">
        <f>_xlfn.XLOOKUP(Orders4[[#This Row],[Order ID]],Details!$A:$A,Details!$D:$D)</f>
        <v>3</v>
      </c>
      <c r="I61" t="str">
        <f>_xlfn.XLOOKUP(Orders4[[#This Row],[Order ID]],Details!A:A,Details!$E:$E)</f>
        <v>Clothing</v>
      </c>
      <c r="J61" t="str">
        <f>_xlfn.XLOOKUP(Orders4[[#This Row],[Order ID]],Details!$A:$A,Details!$F:$F)</f>
        <v>Saree</v>
      </c>
      <c r="K61" t="str">
        <f>_xlfn.XLOOKUP(Orders4[[#This Row],[Order ID]],Details!$A:$A,Details!$G:$G)</f>
        <v>COD</v>
      </c>
      <c r="L61">
        <f>Orders4[[#This Row],[Amount]]/Orders4[[#This Row],[Quantity]]</f>
        <v>81.666666666666671</v>
      </c>
    </row>
    <row r="62" spans="1:12" x14ac:dyDescent="0.25">
      <c r="A62" t="s">
        <v>290</v>
      </c>
      <c r="B62" s="1">
        <v>43237</v>
      </c>
      <c r="C62" t="s">
        <v>791</v>
      </c>
      <c r="D62" t="s">
        <v>627</v>
      </c>
      <c r="E62" t="s">
        <v>628</v>
      </c>
      <c r="F62">
        <f>_xlfn.XLOOKUP(Orders4[[#This Row],[Order ID]],Details!$A:$A, Details!$B:$B)</f>
        <v>55</v>
      </c>
      <c r="G62">
        <f>_xlfn.XLOOKUP(Orders4[[#This Row],[Order ID]],Details!$A:$A,Details!C:C)</f>
        <v>-33</v>
      </c>
      <c r="H62">
        <f>_xlfn.XLOOKUP(Orders4[[#This Row],[Order ID]],Details!$A:$A,Details!$D:$D)</f>
        <v>2</v>
      </c>
      <c r="I62" t="str">
        <f>_xlfn.XLOOKUP(Orders4[[#This Row],[Order ID]],Details!A:A,Details!$E:$E)</f>
        <v>Furniture</v>
      </c>
      <c r="J62" t="str">
        <f>_xlfn.XLOOKUP(Orders4[[#This Row],[Order ID]],Details!$A:$A,Details!$F:$F)</f>
        <v>Chairs</v>
      </c>
      <c r="K62" t="str">
        <f>_xlfn.XLOOKUP(Orders4[[#This Row],[Order ID]],Details!$A:$A,Details!$G:$G)</f>
        <v>Debit Card</v>
      </c>
      <c r="L62">
        <f>Orders4[[#This Row],[Amount]]/Orders4[[#This Row],[Quantity]]</f>
        <v>27.5</v>
      </c>
    </row>
    <row r="63" spans="1:12" x14ac:dyDescent="0.25">
      <c r="A63" t="s">
        <v>161</v>
      </c>
      <c r="B63" s="1">
        <v>43237</v>
      </c>
      <c r="C63" t="s">
        <v>756</v>
      </c>
      <c r="D63" t="s">
        <v>543</v>
      </c>
      <c r="E63" t="s">
        <v>544</v>
      </c>
      <c r="F63">
        <f>_xlfn.XLOOKUP(Orders4[[#This Row],[Order ID]],Details!$A:$A, Details!$B:$B)</f>
        <v>24</v>
      </c>
      <c r="G63">
        <f>_xlfn.XLOOKUP(Orders4[[#This Row],[Order ID]],Details!$A:$A,Details!C:C)</f>
        <v>-2</v>
      </c>
      <c r="H63">
        <f>_xlfn.XLOOKUP(Orders4[[#This Row],[Order ID]],Details!$A:$A,Details!$D:$D)</f>
        <v>2</v>
      </c>
      <c r="I63" t="str">
        <f>_xlfn.XLOOKUP(Orders4[[#This Row],[Order ID]],Details!A:A,Details!$E:$E)</f>
        <v>Clothing</v>
      </c>
      <c r="J63" t="str">
        <f>_xlfn.XLOOKUP(Orders4[[#This Row],[Order ID]],Details!$A:$A,Details!$F:$F)</f>
        <v>T-shirt</v>
      </c>
      <c r="K63" t="str">
        <f>_xlfn.XLOOKUP(Orders4[[#This Row],[Order ID]],Details!$A:$A,Details!$G:$G)</f>
        <v>COD</v>
      </c>
      <c r="L63">
        <f>Orders4[[#This Row],[Amount]]/Orders4[[#This Row],[Quantity]]</f>
        <v>12</v>
      </c>
    </row>
    <row r="64" spans="1:12" x14ac:dyDescent="0.25">
      <c r="A64" t="s">
        <v>474</v>
      </c>
      <c r="B64" s="1">
        <v>43239</v>
      </c>
      <c r="C64" t="s">
        <v>604</v>
      </c>
      <c r="D64" t="s">
        <v>546</v>
      </c>
      <c r="E64" t="s">
        <v>547</v>
      </c>
      <c r="F64">
        <f>_xlfn.XLOOKUP(Orders4[[#This Row],[Order ID]],Details!$A:$A, Details!$B:$B)</f>
        <v>294</v>
      </c>
      <c r="G64">
        <f>_xlfn.XLOOKUP(Orders4[[#This Row],[Order ID]],Details!$A:$A,Details!C:C)</f>
        <v>138</v>
      </c>
      <c r="H64">
        <f>_xlfn.XLOOKUP(Orders4[[#This Row],[Order ID]],Details!$A:$A,Details!$D:$D)</f>
        <v>2</v>
      </c>
      <c r="I64" t="str">
        <f>_xlfn.XLOOKUP(Orders4[[#This Row],[Order ID]],Details!A:A,Details!$E:$E)</f>
        <v>Electronics</v>
      </c>
      <c r="J64" t="str">
        <f>_xlfn.XLOOKUP(Orders4[[#This Row],[Order ID]],Details!$A:$A,Details!$F:$F)</f>
        <v>Printers</v>
      </c>
      <c r="K64" t="str">
        <f>_xlfn.XLOOKUP(Orders4[[#This Row],[Order ID]],Details!$A:$A,Details!$G:$G)</f>
        <v>Debit Card</v>
      </c>
      <c r="L64">
        <f>Orders4[[#This Row],[Amount]]/Orders4[[#This Row],[Quantity]]</f>
        <v>147</v>
      </c>
    </row>
    <row r="65" spans="1:12" x14ac:dyDescent="0.25">
      <c r="A65" t="s">
        <v>246</v>
      </c>
      <c r="B65" s="1">
        <v>43240</v>
      </c>
      <c r="C65" t="s">
        <v>679</v>
      </c>
      <c r="D65" t="s">
        <v>568</v>
      </c>
      <c r="E65" t="s">
        <v>569</v>
      </c>
      <c r="F65">
        <f>_xlfn.XLOOKUP(Orders4[[#This Row],[Order ID]],Details!$A:$A, Details!$B:$B)</f>
        <v>444</v>
      </c>
      <c r="G65">
        <f>_xlfn.XLOOKUP(Orders4[[#This Row],[Order ID]],Details!$A:$A,Details!C:C)</f>
        <v>-200</v>
      </c>
      <c r="H65">
        <f>_xlfn.XLOOKUP(Orders4[[#This Row],[Order ID]],Details!$A:$A,Details!$D:$D)</f>
        <v>4</v>
      </c>
      <c r="I65" t="str">
        <f>_xlfn.XLOOKUP(Orders4[[#This Row],[Order ID]],Details!A:A,Details!$E:$E)</f>
        <v>Electronics</v>
      </c>
      <c r="J65" t="str">
        <f>_xlfn.XLOOKUP(Orders4[[#This Row],[Order ID]],Details!$A:$A,Details!$F:$F)</f>
        <v>Phones</v>
      </c>
      <c r="K65" t="str">
        <f>_xlfn.XLOOKUP(Orders4[[#This Row],[Order ID]],Details!$A:$A,Details!$G:$G)</f>
        <v>EMI</v>
      </c>
      <c r="L65">
        <f>Orders4[[#This Row],[Amount]]/Orders4[[#This Row],[Quantity]]</f>
        <v>111</v>
      </c>
    </row>
    <row r="66" spans="1:12" x14ac:dyDescent="0.25">
      <c r="A66" t="s">
        <v>425</v>
      </c>
      <c r="B66" s="1">
        <v>43241</v>
      </c>
      <c r="C66" t="s">
        <v>815</v>
      </c>
      <c r="D66" t="s">
        <v>580</v>
      </c>
      <c r="E66" t="s">
        <v>581</v>
      </c>
      <c r="F66">
        <f>_xlfn.XLOOKUP(Orders4[[#This Row],[Order ID]],Details!$A:$A, Details!$B:$B)</f>
        <v>166</v>
      </c>
      <c r="G66">
        <f>_xlfn.XLOOKUP(Orders4[[#This Row],[Order ID]],Details!$A:$A,Details!C:C)</f>
        <v>-113</v>
      </c>
      <c r="H66">
        <f>_xlfn.XLOOKUP(Orders4[[#This Row],[Order ID]],Details!$A:$A,Details!$D:$D)</f>
        <v>4</v>
      </c>
      <c r="I66" t="str">
        <f>_xlfn.XLOOKUP(Orders4[[#This Row],[Order ID]],Details!A:A,Details!$E:$E)</f>
        <v>Electronics</v>
      </c>
      <c r="J66" t="str">
        <f>_xlfn.XLOOKUP(Orders4[[#This Row],[Order ID]],Details!$A:$A,Details!$F:$F)</f>
        <v>Accessories</v>
      </c>
      <c r="K66" t="str">
        <f>_xlfn.XLOOKUP(Orders4[[#This Row],[Order ID]],Details!$A:$A,Details!$G:$G)</f>
        <v>EMI</v>
      </c>
      <c r="L66">
        <f>Orders4[[#This Row],[Amount]]/Orders4[[#This Row],[Quantity]]</f>
        <v>41.5</v>
      </c>
    </row>
    <row r="67" spans="1:12" x14ac:dyDescent="0.25">
      <c r="A67" t="s">
        <v>108</v>
      </c>
      <c r="B67" s="1">
        <v>43242</v>
      </c>
      <c r="C67" t="s">
        <v>659</v>
      </c>
      <c r="D67" t="s">
        <v>575</v>
      </c>
      <c r="E67" t="s">
        <v>576</v>
      </c>
      <c r="F67">
        <f>_xlfn.XLOOKUP(Orders4[[#This Row],[Order ID]],Details!$A:$A, Details!$B:$B)</f>
        <v>934</v>
      </c>
      <c r="G67">
        <f>_xlfn.XLOOKUP(Orders4[[#This Row],[Order ID]],Details!$A:$A,Details!C:C)</f>
        <v>-916</v>
      </c>
      <c r="H67">
        <f>_xlfn.XLOOKUP(Orders4[[#This Row],[Order ID]],Details!$A:$A,Details!$D:$D)</f>
        <v>7</v>
      </c>
      <c r="I67" t="str">
        <f>_xlfn.XLOOKUP(Orders4[[#This Row],[Order ID]],Details!A:A,Details!$E:$E)</f>
        <v>Electronics</v>
      </c>
      <c r="J67" t="str">
        <f>_xlfn.XLOOKUP(Orders4[[#This Row],[Order ID]],Details!$A:$A,Details!$F:$F)</f>
        <v>Electronic Games</v>
      </c>
      <c r="K67" t="str">
        <f>_xlfn.XLOOKUP(Orders4[[#This Row],[Order ID]],Details!$A:$A,Details!$G:$G)</f>
        <v>COD</v>
      </c>
      <c r="L67">
        <f>Orders4[[#This Row],[Amount]]/Orders4[[#This Row],[Quantity]]</f>
        <v>133.42857142857142</v>
      </c>
    </row>
    <row r="68" spans="1:12" x14ac:dyDescent="0.25">
      <c r="A68" t="s">
        <v>100</v>
      </c>
      <c r="B68" s="1">
        <v>43243</v>
      </c>
      <c r="C68" t="s">
        <v>655</v>
      </c>
      <c r="D68" t="s">
        <v>593</v>
      </c>
      <c r="E68" t="s">
        <v>576</v>
      </c>
      <c r="F68">
        <f>_xlfn.XLOOKUP(Orders4[[#This Row],[Order ID]],Details!$A:$A, Details!$B:$B)</f>
        <v>11</v>
      </c>
      <c r="G68">
        <f>_xlfn.XLOOKUP(Orders4[[#This Row],[Order ID]],Details!$A:$A,Details!C:C)</f>
        <v>-2</v>
      </c>
      <c r="H68">
        <f>_xlfn.XLOOKUP(Orders4[[#This Row],[Order ID]],Details!$A:$A,Details!$D:$D)</f>
        <v>4</v>
      </c>
      <c r="I68" t="str">
        <f>_xlfn.XLOOKUP(Orders4[[#This Row],[Order ID]],Details!A:A,Details!$E:$E)</f>
        <v>Clothing</v>
      </c>
      <c r="J68" t="str">
        <f>_xlfn.XLOOKUP(Orders4[[#This Row],[Order ID]],Details!$A:$A,Details!$F:$F)</f>
        <v>Hankerchief</v>
      </c>
      <c r="K68" t="str">
        <f>_xlfn.XLOOKUP(Orders4[[#This Row],[Order ID]],Details!$A:$A,Details!$G:$G)</f>
        <v>COD</v>
      </c>
      <c r="L68">
        <f>Orders4[[#This Row],[Amount]]/Orders4[[#This Row],[Quantity]]</f>
        <v>2.75</v>
      </c>
    </row>
    <row r="69" spans="1:12" x14ac:dyDescent="0.25">
      <c r="A69" t="s">
        <v>427</v>
      </c>
      <c r="B69" s="1">
        <v>43244</v>
      </c>
      <c r="C69" t="s">
        <v>690</v>
      </c>
      <c r="D69" t="s">
        <v>571</v>
      </c>
      <c r="E69" t="s">
        <v>572</v>
      </c>
      <c r="F69">
        <f>_xlfn.XLOOKUP(Orders4[[#This Row],[Order ID]],Details!$A:$A, Details!$B:$B)</f>
        <v>123</v>
      </c>
      <c r="G69">
        <f>_xlfn.XLOOKUP(Orders4[[#This Row],[Order ID]],Details!$A:$A,Details!C:C)</f>
        <v>17</v>
      </c>
      <c r="H69">
        <f>_xlfn.XLOOKUP(Orders4[[#This Row],[Order ID]],Details!$A:$A,Details!$D:$D)</f>
        <v>3</v>
      </c>
      <c r="I69" t="str">
        <f>_xlfn.XLOOKUP(Orders4[[#This Row],[Order ID]],Details!A:A,Details!$E:$E)</f>
        <v>Furniture</v>
      </c>
      <c r="J69" t="str">
        <f>_xlfn.XLOOKUP(Orders4[[#This Row],[Order ID]],Details!$A:$A,Details!$F:$F)</f>
        <v>Furnishings</v>
      </c>
      <c r="K69" t="str">
        <f>_xlfn.XLOOKUP(Orders4[[#This Row],[Order ID]],Details!$A:$A,Details!$G:$G)</f>
        <v>COD</v>
      </c>
      <c r="L69">
        <f>Orders4[[#This Row],[Amount]]/Orders4[[#This Row],[Quantity]]</f>
        <v>41</v>
      </c>
    </row>
    <row r="70" spans="1:12" x14ac:dyDescent="0.25">
      <c r="A70" t="s">
        <v>518</v>
      </c>
      <c r="B70" s="1">
        <v>43245</v>
      </c>
      <c r="C70" t="s">
        <v>715</v>
      </c>
      <c r="D70" t="s">
        <v>697</v>
      </c>
      <c r="E70" t="s">
        <v>698</v>
      </c>
      <c r="F70">
        <f>_xlfn.XLOOKUP(Orders4[[#This Row],[Order ID]],Details!$A:$A, Details!$B:$B)</f>
        <v>610</v>
      </c>
      <c r="G70">
        <f>_xlfn.XLOOKUP(Orders4[[#This Row],[Order ID]],Details!$A:$A,Details!C:C)</f>
        <v>-66</v>
      </c>
      <c r="H70">
        <f>_xlfn.XLOOKUP(Orders4[[#This Row],[Order ID]],Details!$A:$A,Details!$D:$D)</f>
        <v>2</v>
      </c>
      <c r="I70" t="str">
        <f>_xlfn.XLOOKUP(Orders4[[#This Row],[Order ID]],Details!A:A,Details!$E:$E)</f>
        <v>Furniture</v>
      </c>
      <c r="J70" t="str">
        <f>_xlfn.XLOOKUP(Orders4[[#This Row],[Order ID]],Details!$A:$A,Details!$F:$F)</f>
        <v>Tables</v>
      </c>
      <c r="K70" t="str">
        <f>_xlfn.XLOOKUP(Orders4[[#This Row],[Order ID]],Details!$A:$A,Details!$G:$G)</f>
        <v>COD</v>
      </c>
      <c r="L70">
        <f>Orders4[[#This Row],[Amount]]/Orders4[[#This Row],[Quantity]]</f>
        <v>305</v>
      </c>
    </row>
    <row r="71" spans="1:12" x14ac:dyDescent="0.25">
      <c r="A71" t="s">
        <v>155</v>
      </c>
      <c r="B71" s="1">
        <v>43245</v>
      </c>
      <c r="C71" t="s">
        <v>704</v>
      </c>
      <c r="D71" t="s">
        <v>647</v>
      </c>
      <c r="E71" t="s">
        <v>647</v>
      </c>
      <c r="F71">
        <f>_xlfn.XLOOKUP(Orders4[[#This Row],[Order ID]],Details!$A:$A, Details!$B:$B)</f>
        <v>24</v>
      </c>
      <c r="G71">
        <f>_xlfn.XLOOKUP(Orders4[[#This Row],[Order ID]],Details!$A:$A,Details!C:C)</f>
        <v>1</v>
      </c>
      <c r="H71">
        <f>_xlfn.XLOOKUP(Orders4[[#This Row],[Order ID]],Details!$A:$A,Details!$D:$D)</f>
        <v>2</v>
      </c>
      <c r="I71" t="str">
        <f>_xlfn.XLOOKUP(Orders4[[#This Row],[Order ID]],Details!A:A,Details!$E:$E)</f>
        <v>Clothing</v>
      </c>
      <c r="J71" t="str">
        <f>_xlfn.XLOOKUP(Orders4[[#This Row],[Order ID]],Details!$A:$A,Details!$F:$F)</f>
        <v>Hankerchief</v>
      </c>
      <c r="K71" t="str">
        <f>_xlfn.XLOOKUP(Orders4[[#This Row],[Order ID]],Details!$A:$A,Details!$G:$G)</f>
        <v>UPI</v>
      </c>
      <c r="L71">
        <f>Orders4[[#This Row],[Amount]]/Orders4[[#This Row],[Quantity]]</f>
        <v>12</v>
      </c>
    </row>
    <row r="72" spans="1:12" x14ac:dyDescent="0.25">
      <c r="A72" t="s">
        <v>516</v>
      </c>
      <c r="B72" s="1">
        <v>43247</v>
      </c>
      <c r="C72" t="s">
        <v>675</v>
      </c>
      <c r="D72" t="s">
        <v>584</v>
      </c>
      <c r="E72" t="s">
        <v>585</v>
      </c>
      <c r="F72">
        <f>_xlfn.XLOOKUP(Orders4[[#This Row],[Order ID]],Details!$A:$A, Details!$B:$B)</f>
        <v>832</v>
      </c>
      <c r="G72">
        <f>_xlfn.XLOOKUP(Orders4[[#This Row],[Order ID]],Details!$A:$A,Details!C:C)</f>
        <v>0</v>
      </c>
      <c r="H72">
        <f>_xlfn.XLOOKUP(Orders4[[#This Row],[Order ID]],Details!$A:$A,Details!$D:$D)</f>
        <v>3</v>
      </c>
      <c r="I72" t="str">
        <f>_xlfn.XLOOKUP(Orders4[[#This Row],[Order ID]],Details!A:A,Details!$E:$E)</f>
        <v>Clothing</v>
      </c>
      <c r="J72" t="str">
        <f>_xlfn.XLOOKUP(Orders4[[#This Row],[Order ID]],Details!$A:$A,Details!$F:$F)</f>
        <v>Trousers</v>
      </c>
      <c r="K72" t="str">
        <f>_xlfn.XLOOKUP(Orders4[[#This Row],[Order ID]],Details!$A:$A,Details!$G:$G)</f>
        <v>UPI</v>
      </c>
      <c r="L72">
        <f>Orders4[[#This Row],[Amount]]/Orders4[[#This Row],[Quantity]]</f>
        <v>277.33333333333331</v>
      </c>
    </row>
    <row r="73" spans="1:12" x14ac:dyDescent="0.25">
      <c r="A73" t="s">
        <v>512</v>
      </c>
      <c r="B73" s="1">
        <v>43248</v>
      </c>
      <c r="C73" t="s">
        <v>904</v>
      </c>
      <c r="D73" t="s">
        <v>554</v>
      </c>
      <c r="E73" t="s">
        <v>555</v>
      </c>
      <c r="F73">
        <f>_xlfn.XLOOKUP(Orders4[[#This Row],[Order ID]],Details!$A:$A, Details!$B:$B)</f>
        <v>27</v>
      </c>
      <c r="G73">
        <f>_xlfn.XLOOKUP(Orders4[[#This Row],[Order ID]],Details!$A:$A,Details!C:C)</f>
        <v>-15</v>
      </c>
      <c r="H73">
        <f>_xlfn.XLOOKUP(Orders4[[#This Row],[Order ID]],Details!$A:$A,Details!$D:$D)</f>
        <v>1</v>
      </c>
      <c r="I73" t="str">
        <f>_xlfn.XLOOKUP(Orders4[[#This Row],[Order ID]],Details!A:A,Details!$E:$E)</f>
        <v>Clothing</v>
      </c>
      <c r="J73" t="str">
        <f>_xlfn.XLOOKUP(Orders4[[#This Row],[Order ID]],Details!$A:$A,Details!$F:$F)</f>
        <v>Stole</v>
      </c>
      <c r="K73" t="str">
        <f>_xlfn.XLOOKUP(Orders4[[#This Row],[Order ID]],Details!$A:$A,Details!$G:$G)</f>
        <v>UPI</v>
      </c>
      <c r="L73">
        <f>Orders4[[#This Row],[Amount]]/Orders4[[#This Row],[Quantity]]</f>
        <v>27</v>
      </c>
    </row>
    <row r="74" spans="1:12" x14ac:dyDescent="0.25">
      <c r="A74" t="s">
        <v>221</v>
      </c>
      <c r="B74" s="1">
        <v>43248</v>
      </c>
      <c r="C74" t="s">
        <v>832</v>
      </c>
      <c r="D74" t="s">
        <v>559</v>
      </c>
      <c r="E74" t="s">
        <v>566</v>
      </c>
      <c r="F74">
        <f>_xlfn.XLOOKUP(Orders4[[#This Row],[Order ID]],Details!$A:$A, Details!$B:$B)</f>
        <v>143</v>
      </c>
      <c r="G74">
        <f>_xlfn.XLOOKUP(Orders4[[#This Row],[Order ID]],Details!$A:$A,Details!C:C)</f>
        <v>-124</v>
      </c>
      <c r="H74">
        <f>_xlfn.XLOOKUP(Orders4[[#This Row],[Order ID]],Details!$A:$A,Details!$D:$D)</f>
        <v>5</v>
      </c>
      <c r="I74" t="str">
        <f>_xlfn.XLOOKUP(Orders4[[#This Row],[Order ID]],Details!A:A,Details!$E:$E)</f>
        <v>Clothing</v>
      </c>
      <c r="J74" t="str">
        <f>_xlfn.XLOOKUP(Orders4[[#This Row],[Order ID]],Details!$A:$A,Details!$F:$F)</f>
        <v>Saree</v>
      </c>
      <c r="K74" t="str">
        <f>_xlfn.XLOOKUP(Orders4[[#This Row],[Order ID]],Details!$A:$A,Details!$G:$G)</f>
        <v>UPI</v>
      </c>
      <c r="L74">
        <f>Orders4[[#This Row],[Amount]]/Orders4[[#This Row],[Quantity]]</f>
        <v>28.6</v>
      </c>
    </row>
    <row r="75" spans="1:12" x14ac:dyDescent="0.25">
      <c r="A75" t="s">
        <v>95</v>
      </c>
      <c r="B75" s="1">
        <v>43248</v>
      </c>
      <c r="C75" t="s">
        <v>641</v>
      </c>
      <c r="D75" t="s">
        <v>543</v>
      </c>
      <c r="E75" t="s">
        <v>551</v>
      </c>
      <c r="F75">
        <f>_xlfn.XLOOKUP(Orders4[[#This Row],[Order ID]],Details!$A:$A, Details!$B:$B)</f>
        <v>17</v>
      </c>
      <c r="G75">
        <f>_xlfn.XLOOKUP(Orders4[[#This Row],[Order ID]],Details!$A:$A,Details!C:C)</f>
        <v>-12</v>
      </c>
      <c r="H75">
        <f>_xlfn.XLOOKUP(Orders4[[#This Row],[Order ID]],Details!$A:$A,Details!$D:$D)</f>
        <v>5</v>
      </c>
      <c r="I75" t="str">
        <f>_xlfn.XLOOKUP(Orders4[[#This Row],[Order ID]],Details!A:A,Details!$E:$E)</f>
        <v>Clothing</v>
      </c>
      <c r="J75" t="str">
        <f>_xlfn.XLOOKUP(Orders4[[#This Row],[Order ID]],Details!$A:$A,Details!$F:$F)</f>
        <v>Skirt</v>
      </c>
      <c r="K75" t="str">
        <f>_xlfn.XLOOKUP(Orders4[[#This Row],[Order ID]],Details!$A:$A,Details!$G:$G)</f>
        <v>Debit Card</v>
      </c>
      <c r="L75">
        <f>Orders4[[#This Row],[Amount]]/Orders4[[#This Row],[Quantity]]</f>
        <v>3.4</v>
      </c>
    </row>
    <row r="76" spans="1:12" x14ac:dyDescent="0.25">
      <c r="A76" t="s">
        <v>109</v>
      </c>
      <c r="B76" s="1">
        <v>43251</v>
      </c>
      <c r="C76" t="s">
        <v>660</v>
      </c>
      <c r="D76" t="s">
        <v>546</v>
      </c>
      <c r="E76" t="s">
        <v>578</v>
      </c>
      <c r="F76">
        <f>_xlfn.XLOOKUP(Orders4[[#This Row],[Order ID]],Details!$A:$A, Details!$B:$B)</f>
        <v>929</v>
      </c>
      <c r="G76">
        <f>_xlfn.XLOOKUP(Orders4[[#This Row],[Order ID]],Details!$A:$A,Details!C:C)</f>
        <v>-93</v>
      </c>
      <c r="H76">
        <f>_xlfn.XLOOKUP(Orders4[[#This Row],[Order ID]],Details!$A:$A,Details!$D:$D)</f>
        <v>9</v>
      </c>
      <c r="I76" t="str">
        <f>_xlfn.XLOOKUP(Orders4[[#This Row],[Order ID]],Details!A:A,Details!$E:$E)</f>
        <v>Clothing</v>
      </c>
      <c r="J76" t="str">
        <f>_xlfn.XLOOKUP(Orders4[[#This Row],[Order ID]],Details!$A:$A,Details!$F:$F)</f>
        <v>Saree</v>
      </c>
      <c r="K76" t="str">
        <f>_xlfn.XLOOKUP(Orders4[[#This Row],[Order ID]],Details!$A:$A,Details!$G:$G)</f>
        <v>COD</v>
      </c>
      <c r="L76">
        <f>Orders4[[#This Row],[Amount]]/Orders4[[#This Row],[Quantity]]</f>
        <v>103.22222222222223</v>
      </c>
    </row>
    <row r="77" spans="1:12" x14ac:dyDescent="0.25">
      <c r="A77" t="s">
        <v>158</v>
      </c>
      <c r="B77" s="1">
        <v>43252</v>
      </c>
      <c r="C77" t="s">
        <v>634</v>
      </c>
      <c r="D77" t="s">
        <v>595</v>
      </c>
      <c r="E77" t="s">
        <v>635</v>
      </c>
      <c r="F77">
        <f>_xlfn.XLOOKUP(Orders4[[#This Row],[Order ID]],Details!$A:$A, Details!$B:$B)</f>
        <v>674</v>
      </c>
      <c r="G77">
        <f>_xlfn.XLOOKUP(Orders4[[#This Row],[Order ID]],Details!$A:$A,Details!C:C)</f>
        <v>-187</v>
      </c>
      <c r="H77">
        <f>_xlfn.XLOOKUP(Orders4[[#This Row],[Order ID]],Details!$A:$A,Details!$D:$D)</f>
        <v>2</v>
      </c>
      <c r="I77" t="str">
        <f>_xlfn.XLOOKUP(Orders4[[#This Row],[Order ID]],Details!A:A,Details!$E:$E)</f>
        <v>Furniture</v>
      </c>
      <c r="J77" t="str">
        <f>_xlfn.XLOOKUP(Orders4[[#This Row],[Order ID]],Details!$A:$A,Details!$F:$F)</f>
        <v>Tables</v>
      </c>
      <c r="K77" t="str">
        <f>_xlfn.XLOOKUP(Orders4[[#This Row],[Order ID]],Details!$A:$A,Details!$G:$G)</f>
        <v>COD</v>
      </c>
      <c r="L77">
        <f>Orders4[[#This Row],[Amount]]/Orders4[[#This Row],[Quantity]]</f>
        <v>337</v>
      </c>
    </row>
    <row r="78" spans="1:12" x14ac:dyDescent="0.25">
      <c r="A78" t="s">
        <v>475</v>
      </c>
      <c r="B78" s="1">
        <v>43253</v>
      </c>
      <c r="C78" t="s">
        <v>790</v>
      </c>
      <c r="D78" t="s">
        <v>618</v>
      </c>
      <c r="E78" t="s">
        <v>619</v>
      </c>
      <c r="F78">
        <f>_xlfn.XLOOKUP(Orders4[[#This Row],[Order ID]],Details!$A:$A, Details!$B:$B)</f>
        <v>20</v>
      </c>
      <c r="G78">
        <f>_xlfn.XLOOKUP(Orders4[[#This Row],[Order ID]],Details!$A:$A,Details!C:C)</f>
        <v>-2</v>
      </c>
      <c r="H78">
        <f>_xlfn.XLOOKUP(Orders4[[#This Row],[Order ID]],Details!$A:$A,Details!$D:$D)</f>
        <v>1</v>
      </c>
      <c r="I78" t="str">
        <f>_xlfn.XLOOKUP(Orders4[[#This Row],[Order ID]],Details!A:A,Details!$E:$E)</f>
        <v>Electronics</v>
      </c>
      <c r="J78" t="str">
        <f>_xlfn.XLOOKUP(Orders4[[#This Row],[Order ID]],Details!$A:$A,Details!$F:$F)</f>
        <v>Accessories</v>
      </c>
      <c r="K78" t="str">
        <f>_xlfn.XLOOKUP(Orders4[[#This Row],[Order ID]],Details!$A:$A,Details!$G:$G)</f>
        <v>UPI</v>
      </c>
      <c r="L78">
        <f>Orders4[[#This Row],[Amount]]/Orders4[[#This Row],[Quantity]]</f>
        <v>20</v>
      </c>
    </row>
    <row r="79" spans="1:12" x14ac:dyDescent="0.25">
      <c r="A79" t="s">
        <v>215</v>
      </c>
      <c r="B79" s="1">
        <v>43254</v>
      </c>
      <c r="C79" t="s">
        <v>770</v>
      </c>
      <c r="D79" t="s">
        <v>598</v>
      </c>
      <c r="E79" t="s">
        <v>599</v>
      </c>
      <c r="F79">
        <f>_xlfn.XLOOKUP(Orders4[[#This Row],[Order ID]],Details!$A:$A, Details!$B:$B)</f>
        <v>27</v>
      </c>
      <c r="G79">
        <f>_xlfn.XLOOKUP(Orders4[[#This Row],[Order ID]],Details!$A:$A,Details!C:C)</f>
        <v>-25</v>
      </c>
      <c r="H79">
        <f>_xlfn.XLOOKUP(Orders4[[#This Row],[Order ID]],Details!$A:$A,Details!$D:$D)</f>
        <v>2</v>
      </c>
      <c r="I79" t="str">
        <f>_xlfn.XLOOKUP(Orders4[[#This Row],[Order ID]],Details!A:A,Details!$E:$E)</f>
        <v>Clothing</v>
      </c>
      <c r="J79" t="str">
        <f>_xlfn.XLOOKUP(Orders4[[#This Row],[Order ID]],Details!$A:$A,Details!$F:$F)</f>
        <v>Shirt</v>
      </c>
      <c r="K79" t="str">
        <f>_xlfn.XLOOKUP(Orders4[[#This Row],[Order ID]],Details!$A:$A,Details!$G:$G)</f>
        <v>Debit Card</v>
      </c>
      <c r="L79">
        <f>Orders4[[#This Row],[Amount]]/Orders4[[#This Row],[Quantity]]</f>
        <v>13.5</v>
      </c>
    </row>
    <row r="80" spans="1:12" x14ac:dyDescent="0.25">
      <c r="A80" t="s">
        <v>412</v>
      </c>
      <c r="B80" s="1">
        <v>43255</v>
      </c>
      <c r="C80" t="s">
        <v>872</v>
      </c>
      <c r="D80" t="s">
        <v>543</v>
      </c>
      <c r="E80" t="s">
        <v>544</v>
      </c>
      <c r="F80">
        <f>_xlfn.XLOOKUP(Orders4[[#This Row],[Order ID]],Details!$A:$A, Details!$B:$B)</f>
        <v>76</v>
      </c>
      <c r="G80">
        <f>_xlfn.XLOOKUP(Orders4[[#This Row],[Order ID]],Details!$A:$A,Details!C:C)</f>
        <v>-50</v>
      </c>
      <c r="H80">
        <f>_xlfn.XLOOKUP(Orders4[[#This Row],[Order ID]],Details!$A:$A,Details!$D:$D)</f>
        <v>1</v>
      </c>
      <c r="I80" t="str">
        <f>_xlfn.XLOOKUP(Orders4[[#This Row],[Order ID]],Details!A:A,Details!$E:$E)</f>
        <v>Clothing</v>
      </c>
      <c r="J80" t="str">
        <f>_xlfn.XLOOKUP(Orders4[[#This Row],[Order ID]],Details!$A:$A,Details!$F:$F)</f>
        <v>Saree</v>
      </c>
      <c r="K80" t="str">
        <f>_xlfn.XLOOKUP(Orders4[[#This Row],[Order ID]],Details!$A:$A,Details!$G:$G)</f>
        <v>COD</v>
      </c>
      <c r="L80">
        <f>Orders4[[#This Row],[Amount]]/Orders4[[#This Row],[Quantity]]</f>
        <v>76</v>
      </c>
    </row>
    <row r="81" spans="1:12" x14ac:dyDescent="0.25">
      <c r="A81" t="s">
        <v>313</v>
      </c>
      <c r="B81" s="1">
        <v>43255</v>
      </c>
      <c r="C81" t="s">
        <v>767</v>
      </c>
      <c r="D81" t="s">
        <v>546</v>
      </c>
      <c r="E81" t="s">
        <v>547</v>
      </c>
      <c r="F81">
        <f>_xlfn.XLOOKUP(Orders4[[#This Row],[Order ID]],Details!$A:$A, Details!$B:$B)</f>
        <v>73</v>
      </c>
      <c r="G81">
        <f>_xlfn.XLOOKUP(Orders4[[#This Row],[Order ID]],Details!$A:$A,Details!C:C)</f>
        <v>-25</v>
      </c>
      <c r="H81">
        <f>_xlfn.XLOOKUP(Orders4[[#This Row],[Order ID]],Details!$A:$A,Details!$D:$D)</f>
        <v>3</v>
      </c>
      <c r="I81" t="str">
        <f>_xlfn.XLOOKUP(Orders4[[#This Row],[Order ID]],Details!A:A,Details!$E:$E)</f>
        <v>Clothing</v>
      </c>
      <c r="J81" t="str">
        <f>_xlfn.XLOOKUP(Orders4[[#This Row],[Order ID]],Details!$A:$A,Details!$F:$F)</f>
        <v>Saree</v>
      </c>
      <c r="K81" t="str">
        <f>_xlfn.XLOOKUP(Orders4[[#This Row],[Order ID]],Details!$A:$A,Details!$G:$G)</f>
        <v>COD</v>
      </c>
      <c r="L81">
        <f>Orders4[[#This Row],[Amount]]/Orders4[[#This Row],[Quantity]]</f>
        <v>24.333333333333332</v>
      </c>
    </row>
    <row r="82" spans="1:12" x14ac:dyDescent="0.25">
      <c r="A82" t="s">
        <v>7</v>
      </c>
      <c r="B82" s="1">
        <v>43255</v>
      </c>
      <c r="C82" t="s">
        <v>588</v>
      </c>
      <c r="D82" t="s">
        <v>546</v>
      </c>
      <c r="E82" t="s">
        <v>547</v>
      </c>
      <c r="F82">
        <f>_xlfn.XLOOKUP(Orders4[[#This Row],[Order ID]],Details!$A:$A, Details!$B:$B)</f>
        <v>1096</v>
      </c>
      <c r="G82">
        <f>_xlfn.XLOOKUP(Orders4[[#This Row],[Order ID]],Details!$A:$A,Details!C:C)</f>
        <v>658</v>
      </c>
      <c r="H82">
        <f>_xlfn.XLOOKUP(Orders4[[#This Row],[Order ID]],Details!$A:$A,Details!$D:$D)</f>
        <v>7</v>
      </c>
      <c r="I82" t="str">
        <f>_xlfn.XLOOKUP(Orders4[[#This Row],[Order ID]],Details!A:A,Details!$E:$E)</f>
        <v>Electronics</v>
      </c>
      <c r="J82" t="str">
        <f>_xlfn.XLOOKUP(Orders4[[#This Row],[Order ID]],Details!$A:$A,Details!$F:$F)</f>
        <v>Electronic Games</v>
      </c>
      <c r="K82" t="str">
        <f>_xlfn.XLOOKUP(Orders4[[#This Row],[Order ID]],Details!$A:$A,Details!$G:$G)</f>
        <v>COD</v>
      </c>
      <c r="L82">
        <f>Orders4[[#This Row],[Amount]]/Orders4[[#This Row],[Quantity]]</f>
        <v>156.57142857142858</v>
      </c>
    </row>
    <row r="83" spans="1:12" x14ac:dyDescent="0.25">
      <c r="A83" t="s">
        <v>175</v>
      </c>
      <c r="B83" s="1">
        <v>43258</v>
      </c>
      <c r="C83" t="s">
        <v>639</v>
      </c>
      <c r="D83" t="s">
        <v>568</v>
      </c>
      <c r="E83" t="s">
        <v>569</v>
      </c>
      <c r="F83">
        <f>_xlfn.XLOOKUP(Orders4[[#This Row],[Order ID]],Details!$A:$A, Details!$B:$B)</f>
        <v>545</v>
      </c>
      <c r="G83">
        <f>_xlfn.XLOOKUP(Orders4[[#This Row],[Order ID]],Details!$A:$A,Details!C:C)</f>
        <v>-73</v>
      </c>
      <c r="H83">
        <f>_xlfn.XLOOKUP(Orders4[[#This Row],[Order ID]],Details!$A:$A,Details!$D:$D)</f>
        <v>11</v>
      </c>
      <c r="I83" t="str">
        <f>_xlfn.XLOOKUP(Orders4[[#This Row],[Order ID]],Details!A:A,Details!$E:$E)</f>
        <v>Electronics</v>
      </c>
      <c r="J83" t="str">
        <f>_xlfn.XLOOKUP(Orders4[[#This Row],[Order ID]],Details!$A:$A,Details!$F:$F)</f>
        <v>Phones</v>
      </c>
      <c r="K83" t="str">
        <f>_xlfn.XLOOKUP(Orders4[[#This Row],[Order ID]],Details!$A:$A,Details!$G:$G)</f>
        <v>COD</v>
      </c>
      <c r="L83">
        <f>Orders4[[#This Row],[Amount]]/Orders4[[#This Row],[Quantity]]</f>
        <v>49.545454545454547</v>
      </c>
    </row>
    <row r="84" spans="1:12" x14ac:dyDescent="0.25">
      <c r="A84" t="s">
        <v>400</v>
      </c>
      <c r="B84" s="1">
        <v>43259</v>
      </c>
      <c r="C84" t="s">
        <v>660</v>
      </c>
      <c r="D84" t="s">
        <v>580</v>
      </c>
      <c r="E84" t="s">
        <v>581</v>
      </c>
      <c r="F84">
        <f>_xlfn.XLOOKUP(Orders4[[#This Row],[Order ID]],Details!$A:$A, Details!$B:$B)</f>
        <v>86</v>
      </c>
      <c r="G84">
        <f>_xlfn.XLOOKUP(Orders4[[#This Row],[Order ID]],Details!$A:$A,Details!C:C)</f>
        <v>-55</v>
      </c>
      <c r="H84">
        <f>_xlfn.XLOOKUP(Orders4[[#This Row],[Order ID]],Details!$A:$A,Details!$D:$D)</f>
        <v>6</v>
      </c>
      <c r="I84" t="str">
        <f>_xlfn.XLOOKUP(Orders4[[#This Row],[Order ID]],Details!A:A,Details!$E:$E)</f>
        <v>Clothing</v>
      </c>
      <c r="J84" t="str">
        <f>_xlfn.XLOOKUP(Orders4[[#This Row],[Order ID]],Details!$A:$A,Details!$F:$F)</f>
        <v>Saree</v>
      </c>
      <c r="K84" t="str">
        <f>_xlfn.XLOOKUP(Orders4[[#This Row],[Order ID]],Details!$A:$A,Details!$G:$G)</f>
        <v>COD</v>
      </c>
      <c r="L84">
        <f>Orders4[[#This Row],[Amount]]/Orders4[[#This Row],[Quantity]]</f>
        <v>14.333333333333334</v>
      </c>
    </row>
    <row r="85" spans="1:12" x14ac:dyDescent="0.25">
      <c r="A85" t="s">
        <v>352</v>
      </c>
      <c r="B85" s="1">
        <v>43260</v>
      </c>
      <c r="C85" t="s">
        <v>836</v>
      </c>
      <c r="D85" t="s">
        <v>543</v>
      </c>
      <c r="E85" t="s">
        <v>544</v>
      </c>
      <c r="F85">
        <f>_xlfn.XLOOKUP(Orders4[[#This Row],[Order ID]],Details!$A:$A, Details!$B:$B)</f>
        <v>134</v>
      </c>
      <c r="G85">
        <f>_xlfn.XLOOKUP(Orders4[[#This Row],[Order ID]],Details!$A:$A,Details!C:C)</f>
        <v>42</v>
      </c>
      <c r="H85">
        <f>_xlfn.XLOOKUP(Orders4[[#This Row],[Order ID]],Details!$A:$A,Details!$D:$D)</f>
        <v>2</v>
      </c>
      <c r="I85" t="str">
        <f>_xlfn.XLOOKUP(Orders4[[#This Row],[Order ID]],Details!A:A,Details!$E:$E)</f>
        <v>Furniture</v>
      </c>
      <c r="J85" t="str">
        <f>_xlfn.XLOOKUP(Orders4[[#This Row],[Order ID]],Details!$A:$A,Details!$F:$F)</f>
        <v>Chairs</v>
      </c>
      <c r="K85" t="str">
        <f>_xlfn.XLOOKUP(Orders4[[#This Row],[Order ID]],Details!$A:$A,Details!$G:$G)</f>
        <v>COD</v>
      </c>
      <c r="L85">
        <f>Orders4[[#This Row],[Amount]]/Orders4[[#This Row],[Quantity]]</f>
        <v>67</v>
      </c>
    </row>
    <row r="86" spans="1:12" x14ac:dyDescent="0.25">
      <c r="A86" t="s">
        <v>461</v>
      </c>
      <c r="B86" s="1">
        <v>43261</v>
      </c>
      <c r="C86" t="s">
        <v>603</v>
      </c>
      <c r="D86" t="s">
        <v>546</v>
      </c>
      <c r="E86" t="s">
        <v>547</v>
      </c>
      <c r="F86">
        <f>_xlfn.XLOOKUP(Orders4[[#This Row],[Order ID]],Details!$A:$A, Details!$B:$B)</f>
        <v>264</v>
      </c>
      <c r="G86">
        <f>_xlfn.XLOOKUP(Orders4[[#This Row],[Order ID]],Details!$A:$A,Details!C:C)</f>
        <v>-30</v>
      </c>
      <c r="H86">
        <f>_xlfn.XLOOKUP(Orders4[[#This Row],[Order ID]],Details!$A:$A,Details!$D:$D)</f>
        <v>3</v>
      </c>
      <c r="I86" t="str">
        <f>_xlfn.XLOOKUP(Orders4[[#This Row],[Order ID]],Details!A:A,Details!$E:$E)</f>
        <v>Furniture</v>
      </c>
      <c r="J86" t="str">
        <f>_xlfn.XLOOKUP(Orders4[[#This Row],[Order ID]],Details!$A:$A,Details!$F:$F)</f>
        <v>Furnishings</v>
      </c>
      <c r="K86" t="str">
        <f>_xlfn.XLOOKUP(Orders4[[#This Row],[Order ID]],Details!$A:$A,Details!$G:$G)</f>
        <v>Debit Card</v>
      </c>
      <c r="L86">
        <f>Orders4[[#This Row],[Amount]]/Orders4[[#This Row],[Quantity]]</f>
        <v>88</v>
      </c>
    </row>
    <row r="87" spans="1:12" x14ac:dyDescent="0.25">
      <c r="A87" t="s">
        <v>53</v>
      </c>
      <c r="B87" s="1">
        <v>43262</v>
      </c>
      <c r="C87" t="s">
        <v>573</v>
      </c>
      <c r="D87" t="s">
        <v>571</v>
      </c>
      <c r="E87" t="s">
        <v>572</v>
      </c>
      <c r="F87">
        <f>_xlfn.XLOOKUP(Orders4[[#This Row],[Order ID]],Details!$A:$A, Details!$B:$B)</f>
        <v>1829</v>
      </c>
      <c r="G87">
        <f>_xlfn.XLOOKUP(Orders4[[#This Row],[Order ID]],Details!$A:$A,Details!C:C)</f>
        <v>-56</v>
      </c>
      <c r="H87">
        <f>_xlfn.XLOOKUP(Orders4[[#This Row],[Order ID]],Details!$A:$A,Details!$D:$D)</f>
        <v>6</v>
      </c>
      <c r="I87" t="str">
        <f>_xlfn.XLOOKUP(Orders4[[#This Row],[Order ID]],Details!A:A,Details!$E:$E)</f>
        <v>Furniture</v>
      </c>
      <c r="J87" t="str">
        <f>_xlfn.XLOOKUP(Orders4[[#This Row],[Order ID]],Details!$A:$A,Details!$F:$F)</f>
        <v>Tables</v>
      </c>
      <c r="K87" t="str">
        <f>_xlfn.XLOOKUP(Orders4[[#This Row],[Order ID]],Details!$A:$A,Details!$G:$G)</f>
        <v>Credit Card</v>
      </c>
      <c r="L87">
        <f>Orders4[[#This Row],[Amount]]/Orders4[[#This Row],[Quantity]]</f>
        <v>304.83333333333331</v>
      </c>
    </row>
    <row r="88" spans="1:12" x14ac:dyDescent="0.25">
      <c r="A88" t="s">
        <v>27</v>
      </c>
      <c r="B88" s="1">
        <v>43262</v>
      </c>
      <c r="C88" t="s">
        <v>755</v>
      </c>
      <c r="D88" t="s">
        <v>543</v>
      </c>
      <c r="E88" t="s">
        <v>544</v>
      </c>
      <c r="F88">
        <f>_xlfn.XLOOKUP(Orders4[[#This Row],[Order ID]],Details!$A:$A, Details!$B:$B)</f>
        <v>387</v>
      </c>
      <c r="G88">
        <f>_xlfn.XLOOKUP(Orders4[[#This Row],[Order ID]],Details!$A:$A,Details!C:C)</f>
        <v>-213</v>
      </c>
      <c r="H88">
        <f>_xlfn.XLOOKUP(Orders4[[#This Row],[Order ID]],Details!$A:$A,Details!$D:$D)</f>
        <v>5</v>
      </c>
      <c r="I88" t="str">
        <f>_xlfn.XLOOKUP(Orders4[[#This Row],[Order ID]],Details!A:A,Details!$E:$E)</f>
        <v>Clothing</v>
      </c>
      <c r="J88" t="str">
        <f>_xlfn.XLOOKUP(Orders4[[#This Row],[Order ID]],Details!$A:$A,Details!$F:$F)</f>
        <v>Saree</v>
      </c>
      <c r="K88" t="str">
        <f>_xlfn.XLOOKUP(Orders4[[#This Row],[Order ID]],Details!$A:$A,Details!$G:$G)</f>
        <v>UPI</v>
      </c>
      <c r="L88">
        <f>Orders4[[#This Row],[Amount]]/Orders4[[#This Row],[Quantity]]</f>
        <v>77.400000000000006</v>
      </c>
    </row>
    <row r="89" spans="1:12" x14ac:dyDescent="0.25">
      <c r="A89" t="s">
        <v>287</v>
      </c>
      <c r="B89" s="1">
        <v>43262</v>
      </c>
      <c r="C89" t="s">
        <v>762</v>
      </c>
      <c r="D89" t="s">
        <v>546</v>
      </c>
      <c r="E89" t="s">
        <v>547</v>
      </c>
      <c r="F89">
        <f>_xlfn.XLOOKUP(Orders4[[#This Row],[Order ID]],Details!$A:$A, Details!$B:$B)</f>
        <v>352</v>
      </c>
      <c r="G89">
        <f>_xlfn.XLOOKUP(Orders4[[#This Row],[Order ID]],Details!$A:$A,Details!C:C)</f>
        <v>-345</v>
      </c>
      <c r="H89">
        <f>_xlfn.XLOOKUP(Orders4[[#This Row],[Order ID]],Details!$A:$A,Details!$D:$D)</f>
        <v>5</v>
      </c>
      <c r="I89" t="str">
        <f>_xlfn.XLOOKUP(Orders4[[#This Row],[Order ID]],Details!A:A,Details!$E:$E)</f>
        <v>Clothing</v>
      </c>
      <c r="J89" t="str">
        <f>_xlfn.XLOOKUP(Orders4[[#This Row],[Order ID]],Details!$A:$A,Details!$F:$F)</f>
        <v>Saree</v>
      </c>
      <c r="K89" t="str">
        <f>_xlfn.XLOOKUP(Orders4[[#This Row],[Order ID]],Details!$A:$A,Details!$G:$G)</f>
        <v>Credit Card</v>
      </c>
      <c r="L89">
        <f>Orders4[[#This Row],[Amount]]/Orders4[[#This Row],[Quantity]]</f>
        <v>70.400000000000006</v>
      </c>
    </row>
    <row r="90" spans="1:12" x14ac:dyDescent="0.25">
      <c r="A90" t="s">
        <v>203</v>
      </c>
      <c r="B90" s="1">
        <v>43265</v>
      </c>
      <c r="C90" t="s">
        <v>739</v>
      </c>
      <c r="D90" t="s">
        <v>543</v>
      </c>
      <c r="E90" t="s">
        <v>544</v>
      </c>
      <c r="F90">
        <f>_xlfn.XLOOKUP(Orders4[[#This Row],[Order ID]],Details!$A:$A, Details!$B:$B)</f>
        <v>469</v>
      </c>
      <c r="G90">
        <f>_xlfn.XLOOKUP(Orders4[[#This Row],[Order ID]],Details!$A:$A,Details!C:C)</f>
        <v>-459</v>
      </c>
      <c r="H90">
        <f>_xlfn.XLOOKUP(Orders4[[#This Row],[Order ID]],Details!$A:$A,Details!$D:$D)</f>
        <v>3</v>
      </c>
      <c r="I90" t="str">
        <f>_xlfn.XLOOKUP(Orders4[[#This Row],[Order ID]],Details!A:A,Details!$E:$E)</f>
        <v>Electronics</v>
      </c>
      <c r="J90" t="str">
        <f>_xlfn.XLOOKUP(Orders4[[#This Row],[Order ID]],Details!$A:$A,Details!$F:$F)</f>
        <v>Electronic Games</v>
      </c>
      <c r="K90" t="str">
        <f>_xlfn.XLOOKUP(Orders4[[#This Row],[Order ID]],Details!$A:$A,Details!$G:$G)</f>
        <v>COD</v>
      </c>
      <c r="L90">
        <f>Orders4[[#This Row],[Amount]]/Orders4[[#This Row],[Quantity]]</f>
        <v>156.33333333333334</v>
      </c>
    </row>
    <row r="91" spans="1:12" x14ac:dyDescent="0.25">
      <c r="A91" t="s">
        <v>496</v>
      </c>
      <c r="B91" s="1">
        <v>43266</v>
      </c>
      <c r="C91" t="s">
        <v>898</v>
      </c>
      <c r="D91" t="s">
        <v>546</v>
      </c>
      <c r="E91" t="s">
        <v>547</v>
      </c>
      <c r="F91">
        <f>_xlfn.XLOOKUP(Orders4[[#This Row],[Order ID]],Details!$A:$A, Details!$B:$B)</f>
        <v>31</v>
      </c>
      <c r="G91">
        <f>_xlfn.XLOOKUP(Orders4[[#This Row],[Order ID]],Details!$A:$A,Details!C:C)</f>
        <v>-10</v>
      </c>
      <c r="H91">
        <f>_xlfn.XLOOKUP(Orders4[[#This Row],[Order ID]],Details!$A:$A,Details!$D:$D)</f>
        <v>3</v>
      </c>
      <c r="I91" t="str">
        <f>_xlfn.XLOOKUP(Orders4[[#This Row],[Order ID]],Details!A:A,Details!$E:$E)</f>
        <v>Clothing</v>
      </c>
      <c r="J91" t="str">
        <f>_xlfn.XLOOKUP(Orders4[[#This Row],[Order ID]],Details!$A:$A,Details!$F:$F)</f>
        <v>Skirt</v>
      </c>
      <c r="K91" t="str">
        <f>_xlfn.XLOOKUP(Orders4[[#This Row],[Order ID]],Details!$A:$A,Details!$G:$G)</f>
        <v>COD</v>
      </c>
      <c r="L91">
        <f>Orders4[[#This Row],[Amount]]/Orders4[[#This Row],[Quantity]]</f>
        <v>10.333333333333334</v>
      </c>
    </row>
    <row r="92" spans="1:12" x14ac:dyDescent="0.25">
      <c r="A92" t="s">
        <v>150</v>
      </c>
      <c r="B92" s="1">
        <v>43267</v>
      </c>
      <c r="C92" t="s">
        <v>695</v>
      </c>
      <c r="D92" t="s">
        <v>543</v>
      </c>
      <c r="E92" t="s">
        <v>544</v>
      </c>
      <c r="F92">
        <f>_xlfn.XLOOKUP(Orders4[[#This Row],[Order ID]],Details!$A:$A, Details!$B:$B)</f>
        <v>714</v>
      </c>
      <c r="G92">
        <f>_xlfn.XLOOKUP(Orders4[[#This Row],[Order ID]],Details!$A:$A,Details!C:C)</f>
        <v>56</v>
      </c>
      <c r="H92">
        <f>_xlfn.XLOOKUP(Orders4[[#This Row],[Order ID]],Details!$A:$A,Details!$D:$D)</f>
        <v>4</v>
      </c>
      <c r="I92" t="str">
        <f>_xlfn.XLOOKUP(Orders4[[#This Row],[Order ID]],Details!A:A,Details!$E:$E)</f>
        <v>Clothing</v>
      </c>
      <c r="J92" t="str">
        <f>_xlfn.XLOOKUP(Orders4[[#This Row],[Order ID]],Details!$A:$A,Details!$F:$F)</f>
        <v>Saree</v>
      </c>
      <c r="K92" t="str">
        <f>_xlfn.XLOOKUP(Orders4[[#This Row],[Order ID]],Details!$A:$A,Details!$G:$G)</f>
        <v>COD</v>
      </c>
      <c r="L92">
        <f>Orders4[[#This Row],[Amount]]/Orders4[[#This Row],[Quantity]]</f>
        <v>178.5</v>
      </c>
    </row>
    <row r="93" spans="1:12" x14ac:dyDescent="0.25">
      <c r="A93" t="s">
        <v>493</v>
      </c>
      <c r="B93" s="1">
        <v>43268</v>
      </c>
      <c r="C93" t="s">
        <v>833</v>
      </c>
      <c r="D93" t="s">
        <v>546</v>
      </c>
      <c r="E93" t="s">
        <v>547</v>
      </c>
      <c r="F93">
        <f>_xlfn.XLOOKUP(Orders4[[#This Row],[Order ID]],Details!$A:$A, Details!$B:$B)</f>
        <v>141</v>
      </c>
      <c r="G93">
        <f>_xlfn.XLOOKUP(Orders4[[#This Row],[Order ID]],Details!$A:$A,Details!C:C)</f>
        <v>28</v>
      </c>
      <c r="H93">
        <f>_xlfn.XLOOKUP(Orders4[[#This Row],[Order ID]],Details!$A:$A,Details!$D:$D)</f>
        <v>7</v>
      </c>
      <c r="I93" t="str">
        <f>_xlfn.XLOOKUP(Orders4[[#This Row],[Order ID]],Details!A:A,Details!$E:$E)</f>
        <v>Furniture</v>
      </c>
      <c r="J93" t="str">
        <f>_xlfn.XLOOKUP(Orders4[[#This Row],[Order ID]],Details!$A:$A,Details!$F:$F)</f>
        <v>Furnishings</v>
      </c>
      <c r="K93" t="str">
        <f>_xlfn.XLOOKUP(Orders4[[#This Row],[Order ID]],Details!$A:$A,Details!$G:$G)</f>
        <v>UPI</v>
      </c>
      <c r="L93">
        <f>Orders4[[#This Row],[Amount]]/Orders4[[#This Row],[Quantity]]</f>
        <v>20.142857142857142</v>
      </c>
    </row>
    <row r="94" spans="1:12" x14ac:dyDescent="0.25">
      <c r="A94" t="s">
        <v>112</v>
      </c>
      <c r="B94" s="1">
        <v>43269</v>
      </c>
      <c r="C94" t="s">
        <v>711</v>
      </c>
      <c r="D94" t="s">
        <v>546</v>
      </c>
      <c r="E94" t="s">
        <v>578</v>
      </c>
      <c r="F94">
        <f>_xlfn.XLOOKUP(Orders4[[#This Row],[Order ID]],Details!$A:$A, Details!$B:$B)</f>
        <v>76</v>
      </c>
      <c r="G94">
        <f>_xlfn.XLOOKUP(Orders4[[#This Row],[Order ID]],Details!$A:$A,Details!C:C)</f>
        <v>-72</v>
      </c>
      <c r="H94">
        <f>_xlfn.XLOOKUP(Orders4[[#This Row],[Order ID]],Details!$A:$A,Details!$D:$D)</f>
        <v>9</v>
      </c>
      <c r="I94" t="str">
        <f>_xlfn.XLOOKUP(Orders4[[#This Row],[Order ID]],Details!A:A,Details!$E:$E)</f>
        <v>Clothing</v>
      </c>
      <c r="J94" t="str">
        <f>_xlfn.XLOOKUP(Orders4[[#This Row],[Order ID]],Details!$A:$A,Details!$F:$F)</f>
        <v>Hankerchief</v>
      </c>
      <c r="K94" t="str">
        <f>_xlfn.XLOOKUP(Orders4[[#This Row],[Order ID]],Details!$A:$A,Details!$G:$G)</f>
        <v>COD</v>
      </c>
      <c r="L94">
        <f>Orders4[[#This Row],[Amount]]/Orders4[[#This Row],[Quantity]]</f>
        <v>8.4444444444444446</v>
      </c>
    </row>
    <row r="95" spans="1:12" x14ac:dyDescent="0.25">
      <c r="A95" t="s">
        <v>426</v>
      </c>
      <c r="B95" s="1">
        <v>43269</v>
      </c>
      <c r="C95" t="s">
        <v>814</v>
      </c>
      <c r="D95" t="s">
        <v>595</v>
      </c>
      <c r="E95" t="s">
        <v>635</v>
      </c>
      <c r="F95">
        <f>_xlfn.XLOOKUP(Orders4[[#This Row],[Order ID]],Details!$A:$A, Details!$B:$B)</f>
        <v>167</v>
      </c>
      <c r="G95">
        <f>_xlfn.XLOOKUP(Orders4[[#This Row],[Order ID]],Details!$A:$A,Details!C:C)</f>
        <v>43</v>
      </c>
      <c r="H95">
        <f>_xlfn.XLOOKUP(Orders4[[#This Row],[Order ID]],Details!$A:$A,Details!$D:$D)</f>
        <v>7</v>
      </c>
      <c r="I95" t="str">
        <f>_xlfn.XLOOKUP(Orders4[[#This Row],[Order ID]],Details!A:A,Details!$E:$E)</f>
        <v>Clothing</v>
      </c>
      <c r="J95" t="str">
        <f>_xlfn.XLOOKUP(Orders4[[#This Row],[Order ID]],Details!$A:$A,Details!$F:$F)</f>
        <v>T-shirt</v>
      </c>
      <c r="K95" t="str">
        <f>_xlfn.XLOOKUP(Orders4[[#This Row],[Order ID]],Details!$A:$A,Details!$G:$G)</f>
        <v>EMI</v>
      </c>
      <c r="L95">
        <f>Orders4[[#This Row],[Amount]]/Orders4[[#This Row],[Quantity]]</f>
        <v>23.857142857142858</v>
      </c>
    </row>
    <row r="96" spans="1:12" x14ac:dyDescent="0.25">
      <c r="A96" t="s">
        <v>432</v>
      </c>
      <c r="B96" s="1">
        <v>43269</v>
      </c>
      <c r="C96" t="s">
        <v>811</v>
      </c>
      <c r="D96" t="s">
        <v>618</v>
      </c>
      <c r="E96" t="s">
        <v>619</v>
      </c>
      <c r="F96">
        <f>_xlfn.XLOOKUP(Orders4[[#This Row],[Order ID]],Details!$A:$A, Details!$B:$B)</f>
        <v>171</v>
      </c>
      <c r="G96">
        <f>_xlfn.XLOOKUP(Orders4[[#This Row],[Order ID]],Details!$A:$A,Details!C:C)</f>
        <v>14</v>
      </c>
      <c r="H96">
        <f>_xlfn.XLOOKUP(Orders4[[#This Row],[Order ID]],Details!$A:$A,Details!$D:$D)</f>
        <v>9</v>
      </c>
      <c r="I96" t="str">
        <f>_xlfn.XLOOKUP(Orders4[[#This Row],[Order ID]],Details!A:A,Details!$E:$E)</f>
        <v>Clothing</v>
      </c>
      <c r="J96" t="str">
        <f>_xlfn.XLOOKUP(Orders4[[#This Row],[Order ID]],Details!$A:$A,Details!$F:$F)</f>
        <v>Shirt</v>
      </c>
      <c r="K96" t="str">
        <f>_xlfn.XLOOKUP(Orders4[[#This Row],[Order ID]],Details!$A:$A,Details!$G:$G)</f>
        <v>Debit Card</v>
      </c>
      <c r="L96">
        <f>Orders4[[#This Row],[Amount]]/Orders4[[#This Row],[Quantity]]</f>
        <v>19</v>
      </c>
    </row>
    <row r="97" spans="1:12" x14ac:dyDescent="0.25">
      <c r="A97" t="s">
        <v>25</v>
      </c>
      <c r="B97" s="1">
        <v>43272</v>
      </c>
      <c r="C97" t="s">
        <v>667</v>
      </c>
      <c r="D97" t="s">
        <v>598</v>
      </c>
      <c r="E97" t="s">
        <v>599</v>
      </c>
      <c r="F97">
        <f>_xlfn.XLOOKUP(Orders4[[#This Row],[Order ID]],Details!$A:$A, Details!$B:$B)</f>
        <v>275</v>
      </c>
      <c r="G97">
        <f>_xlfn.XLOOKUP(Orders4[[#This Row],[Order ID]],Details!$A:$A,Details!C:C)</f>
        <v>-275</v>
      </c>
      <c r="H97">
        <f>_xlfn.XLOOKUP(Orders4[[#This Row],[Order ID]],Details!$A:$A,Details!$D:$D)</f>
        <v>4</v>
      </c>
      <c r="I97" t="str">
        <f>_xlfn.XLOOKUP(Orders4[[#This Row],[Order ID]],Details!A:A,Details!$E:$E)</f>
        <v>Clothing</v>
      </c>
      <c r="J97" t="str">
        <f>_xlfn.XLOOKUP(Orders4[[#This Row],[Order ID]],Details!$A:$A,Details!$F:$F)</f>
        <v>Saree</v>
      </c>
      <c r="K97" t="str">
        <f>_xlfn.XLOOKUP(Orders4[[#This Row],[Order ID]],Details!$A:$A,Details!$G:$G)</f>
        <v>COD</v>
      </c>
      <c r="L97">
        <f>Orders4[[#This Row],[Amount]]/Orders4[[#This Row],[Quantity]]</f>
        <v>68.75</v>
      </c>
    </row>
    <row r="98" spans="1:12" x14ac:dyDescent="0.25">
      <c r="A98" t="s">
        <v>99</v>
      </c>
      <c r="B98" s="1">
        <v>43273</v>
      </c>
      <c r="C98" t="s">
        <v>626</v>
      </c>
      <c r="D98" t="s">
        <v>627</v>
      </c>
      <c r="E98" t="s">
        <v>628</v>
      </c>
      <c r="F98">
        <f>_xlfn.XLOOKUP(Orders4[[#This Row],[Order ID]],Details!$A:$A, Details!$B:$B)</f>
        <v>1300</v>
      </c>
      <c r="G98">
        <f>_xlfn.XLOOKUP(Orders4[[#This Row],[Order ID]],Details!$A:$A,Details!C:C)</f>
        <v>-16</v>
      </c>
      <c r="H98">
        <f>_xlfn.XLOOKUP(Orders4[[#This Row],[Order ID]],Details!$A:$A,Details!$D:$D)</f>
        <v>8</v>
      </c>
      <c r="I98" t="str">
        <f>_xlfn.XLOOKUP(Orders4[[#This Row],[Order ID]],Details!A:A,Details!$E:$E)</f>
        <v>Electronics</v>
      </c>
      <c r="J98" t="str">
        <f>_xlfn.XLOOKUP(Orders4[[#This Row],[Order ID]],Details!$A:$A,Details!$F:$F)</f>
        <v>Printers</v>
      </c>
      <c r="K98" t="str">
        <f>_xlfn.XLOOKUP(Orders4[[#This Row],[Order ID]],Details!$A:$A,Details!$G:$G)</f>
        <v>Credit Card</v>
      </c>
      <c r="L98">
        <f>Orders4[[#This Row],[Amount]]/Orders4[[#This Row],[Quantity]]</f>
        <v>162.5</v>
      </c>
    </row>
    <row r="99" spans="1:12" x14ac:dyDescent="0.25">
      <c r="A99" t="s">
        <v>182</v>
      </c>
      <c r="B99" s="1">
        <v>43274</v>
      </c>
      <c r="C99" t="s">
        <v>730</v>
      </c>
      <c r="D99" t="s">
        <v>612</v>
      </c>
      <c r="E99" t="s">
        <v>613</v>
      </c>
      <c r="F99">
        <f>_xlfn.XLOOKUP(Orders4[[#This Row],[Order ID]],Details!$A:$A, Details!$B:$B)</f>
        <v>516</v>
      </c>
      <c r="G99">
        <f>_xlfn.XLOOKUP(Orders4[[#This Row],[Order ID]],Details!$A:$A,Details!C:C)</f>
        <v>392</v>
      </c>
      <c r="H99">
        <f>_xlfn.XLOOKUP(Orders4[[#This Row],[Order ID]],Details!$A:$A,Details!$D:$D)</f>
        <v>8</v>
      </c>
      <c r="I99" t="str">
        <f>_xlfn.XLOOKUP(Orders4[[#This Row],[Order ID]],Details!A:A,Details!$E:$E)</f>
        <v>Furniture</v>
      </c>
      <c r="J99" t="str">
        <f>_xlfn.XLOOKUP(Orders4[[#This Row],[Order ID]],Details!$A:$A,Details!$F:$F)</f>
        <v>Chairs</v>
      </c>
      <c r="K99" t="str">
        <f>_xlfn.XLOOKUP(Orders4[[#This Row],[Order ID]],Details!$A:$A,Details!$G:$G)</f>
        <v>COD</v>
      </c>
      <c r="L99">
        <f>Orders4[[#This Row],[Amount]]/Orders4[[#This Row],[Quantity]]</f>
        <v>64.5</v>
      </c>
    </row>
    <row r="100" spans="1:12" x14ac:dyDescent="0.25">
      <c r="A100" t="s">
        <v>279</v>
      </c>
      <c r="B100" s="1">
        <v>43275</v>
      </c>
      <c r="C100" t="s">
        <v>860</v>
      </c>
      <c r="D100" t="s">
        <v>537</v>
      </c>
      <c r="E100" t="s">
        <v>607</v>
      </c>
      <c r="F100">
        <f>_xlfn.XLOOKUP(Orders4[[#This Row],[Order ID]],Details!$A:$A, Details!$B:$B)</f>
        <v>49</v>
      </c>
      <c r="G100">
        <f>_xlfn.XLOOKUP(Orders4[[#This Row],[Order ID]],Details!$A:$A,Details!C:C)</f>
        <v>-31</v>
      </c>
      <c r="H100">
        <f>_xlfn.XLOOKUP(Orders4[[#This Row],[Order ID]],Details!$A:$A,Details!$D:$D)</f>
        <v>2</v>
      </c>
      <c r="I100" t="str">
        <f>_xlfn.XLOOKUP(Orders4[[#This Row],[Order ID]],Details!A:A,Details!$E:$E)</f>
        <v>Clothing</v>
      </c>
      <c r="J100" t="str">
        <f>_xlfn.XLOOKUP(Orders4[[#This Row],[Order ID]],Details!$A:$A,Details!$F:$F)</f>
        <v>Stole</v>
      </c>
      <c r="K100" t="str">
        <f>_xlfn.XLOOKUP(Orders4[[#This Row],[Order ID]],Details!$A:$A,Details!$G:$G)</f>
        <v>UPI</v>
      </c>
      <c r="L100">
        <f>Orders4[[#This Row],[Amount]]/Orders4[[#This Row],[Quantity]]</f>
        <v>24.5</v>
      </c>
    </row>
    <row r="101" spans="1:12" x14ac:dyDescent="0.25">
      <c r="A101" t="s">
        <v>268</v>
      </c>
      <c r="B101" s="1">
        <v>43276</v>
      </c>
      <c r="C101" t="s">
        <v>839</v>
      </c>
      <c r="D101" t="s">
        <v>543</v>
      </c>
      <c r="E101" t="s">
        <v>544</v>
      </c>
      <c r="F101">
        <f>_xlfn.XLOOKUP(Orders4[[#This Row],[Order ID]],Details!$A:$A, Details!$B:$B)</f>
        <v>44</v>
      </c>
      <c r="G101">
        <f>_xlfn.XLOOKUP(Orders4[[#This Row],[Order ID]],Details!$A:$A,Details!C:C)</f>
        <v>-32</v>
      </c>
      <c r="H101">
        <f>_xlfn.XLOOKUP(Orders4[[#This Row],[Order ID]],Details!$A:$A,Details!$D:$D)</f>
        <v>3</v>
      </c>
      <c r="I101" t="str">
        <f>_xlfn.XLOOKUP(Orders4[[#This Row],[Order ID]],Details!A:A,Details!$E:$E)</f>
        <v>Clothing</v>
      </c>
      <c r="J101" t="str">
        <f>_xlfn.XLOOKUP(Orders4[[#This Row],[Order ID]],Details!$A:$A,Details!$F:$F)</f>
        <v>Stole</v>
      </c>
      <c r="K101" t="str">
        <f>_xlfn.XLOOKUP(Orders4[[#This Row],[Order ID]],Details!$A:$A,Details!$G:$G)</f>
        <v>Debit Card</v>
      </c>
      <c r="L101">
        <f>Orders4[[#This Row],[Amount]]/Orders4[[#This Row],[Quantity]]</f>
        <v>14.666666666666666</v>
      </c>
    </row>
    <row r="102" spans="1:12" x14ac:dyDescent="0.25">
      <c r="A102" t="s">
        <v>210</v>
      </c>
      <c r="B102" s="1">
        <v>43277</v>
      </c>
      <c r="C102" t="s">
        <v>862</v>
      </c>
      <c r="D102" t="s">
        <v>546</v>
      </c>
      <c r="E102" t="s">
        <v>547</v>
      </c>
      <c r="F102">
        <f>_xlfn.XLOOKUP(Orders4[[#This Row],[Order ID]],Details!$A:$A, Details!$B:$B)</f>
        <v>98</v>
      </c>
      <c r="G102">
        <f>_xlfn.XLOOKUP(Orders4[[#This Row],[Order ID]],Details!$A:$A,Details!C:C)</f>
        <v>-45</v>
      </c>
      <c r="H102">
        <f>_xlfn.XLOOKUP(Orders4[[#This Row],[Order ID]],Details!$A:$A,Details!$D:$D)</f>
        <v>2</v>
      </c>
      <c r="I102" t="str">
        <f>_xlfn.XLOOKUP(Orders4[[#This Row],[Order ID]],Details!A:A,Details!$E:$E)</f>
        <v>Furniture</v>
      </c>
      <c r="J102" t="str">
        <f>_xlfn.XLOOKUP(Orders4[[#This Row],[Order ID]],Details!$A:$A,Details!$F:$F)</f>
        <v>Chairs</v>
      </c>
      <c r="K102" t="str">
        <f>_xlfn.XLOOKUP(Orders4[[#This Row],[Order ID]],Details!$A:$A,Details!$G:$G)</f>
        <v>UPI</v>
      </c>
      <c r="L102">
        <f>Orders4[[#This Row],[Amount]]/Orders4[[#This Row],[Quantity]]</f>
        <v>49</v>
      </c>
    </row>
    <row r="103" spans="1:12" x14ac:dyDescent="0.25">
      <c r="A103" t="s">
        <v>469</v>
      </c>
      <c r="B103" s="1">
        <v>43278</v>
      </c>
      <c r="C103" t="s">
        <v>658</v>
      </c>
      <c r="D103" t="s">
        <v>543</v>
      </c>
      <c r="E103" t="s">
        <v>544</v>
      </c>
      <c r="F103">
        <f>_xlfn.XLOOKUP(Orders4[[#This Row],[Order ID]],Details!$A:$A, Details!$B:$B)</f>
        <v>75</v>
      </c>
      <c r="G103">
        <f>_xlfn.XLOOKUP(Orders4[[#This Row],[Order ID]],Details!$A:$A,Details!C:C)</f>
        <v>0</v>
      </c>
      <c r="H103">
        <f>_xlfn.XLOOKUP(Orders4[[#This Row],[Order ID]],Details!$A:$A,Details!$D:$D)</f>
        <v>3</v>
      </c>
      <c r="I103" t="str">
        <f>_xlfn.XLOOKUP(Orders4[[#This Row],[Order ID]],Details!A:A,Details!$E:$E)</f>
        <v>Clothing</v>
      </c>
      <c r="J103" t="str">
        <f>_xlfn.XLOOKUP(Orders4[[#This Row],[Order ID]],Details!$A:$A,Details!$F:$F)</f>
        <v>Shirt</v>
      </c>
      <c r="K103" t="str">
        <f>_xlfn.XLOOKUP(Orders4[[#This Row],[Order ID]],Details!$A:$A,Details!$G:$G)</f>
        <v>EMI</v>
      </c>
      <c r="L103">
        <f>Orders4[[#This Row],[Amount]]/Orders4[[#This Row],[Quantity]]</f>
        <v>25</v>
      </c>
    </row>
    <row r="104" spans="1:12" x14ac:dyDescent="0.25">
      <c r="A104" t="s">
        <v>33</v>
      </c>
      <c r="B104" s="1">
        <v>43279</v>
      </c>
      <c r="C104" t="s">
        <v>790</v>
      </c>
      <c r="D104" t="s">
        <v>546</v>
      </c>
      <c r="E104" t="s">
        <v>547</v>
      </c>
      <c r="F104">
        <f>_xlfn.XLOOKUP(Orders4[[#This Row],[Order ID]],Details!$A:$A, Details!$B:$B)</f>
        <v>231</v>
      </c>
      <c r="G104">
        <f>_xlfn.XLOOKUP(Orders4[[#This Row],[Order ID]],Details!$A:$A,Details!C:C)</f>
        <v>-190</v>
      </c>
      <c r="H104">
        <f>_xlfn.XLOOKUP(Orders4[[#This Row],[Order ID]],Details!$A:$A,Details!$D:$D)</f>
        <v>9</v>
      </c>
      <c r="I104" t="str">
        <f>_xlfn.XLOOKUP(Orders4[[#This Row],[Order ID]],Details!A:A,Details!$E:$E)</f>
        <v>Clothing</v>
      </c>
      <c r="J104" t="str">
        <f>_xlfn.XLOOKUP(Orders4[[#This Row],[Order ID]],Details!$A:$A,Details!$F:$F)</f>
        <v>Hankerchief</v>
      </c>
      <c r="K104" t="str">
        <f>_xlfn.XLOOKUP(Orders4[[#This Row],[Order ID]],Details!$A:$A,Details!$G:$G)</f>
        <v>COD</v>
      </c>
      <c r="L104">
        <f>Orders4[[#This Row],[Amount]]/Orders4[[#This Row],[Quantity]]</f>
        <v>25.666666666666668</v>
      </c>
    </row>
    <row r="105" spans="1:12" x14ac:dyDescent="0.25">
      <c r="A105" t="s">
        <v>120</v>
      </c>
      <c r="B105" s="1">
        <v>43280</v>
      </c>
      <c r="C105" t="s">
        <v>840</v>
      </c>
      <c r="D105" t="s">
        <v>543</v>
      </c>
      <c r="E105" t="s">
        <v>544</v>
      </c>
      <c r="F105">
        <f>_xlfn.XLOOKUP(Orders4[[#This Row],[Order ID]],Details!$A:$A, Details!$B:$B)</f>
        <v>126</v>
      </c>
      <c r="G105">
        <f>_xlfn.XLOOKUP(Orders4[[#This Row],[Order ID]],Details!$A:$A,Details!C:C)</f>
        <v>-63</v>
      </c>
      <c r="H105">
        <f>_xlfn.XLOOKUP(Orders4[[#This Row],[Order ID]],Details!$A:$A,Details!$D:$D)</f>
        <v>3</v>
      </c>
      <c r="I105" t="str">
        <f>_xlfn.XLOOKUP(Orders4[[#This Row],[Order ID]],Details!A:A,Details!$E:$E)</f>
        <v>Electronics</v>
      </c>
      <c r="J105" t="str">
        <f>_xlfn.XLOOKUP(Orders4[[#This Row],[Order ID]],Details!$A:$A,Details!$F:$F)</f>
        <v>Accessories</v>
      </c>
      <c r="K105" t="str">
        <f>_xlfn.XLOOKUP(Orders4[[#This Row],[Order ID]],Details!$A:$A,Details!$G:$G)</f>
        <v>UPI</v>
      </c>
      <c r="L105">
        <f>Orders4[[#This Row],[Amount]]/Orders4[[#This Row],[Quantity]]</f>
        <v>42</v>
      </c>
    </row>
    <row r="106" spans="1:12" x14ac:dyDescent="0.25">
      <c r="A106" t="s">
        <v>482</v>
      </c>
      <c r="B106" s="1">
        <v>43281</v>
      </c>
      <c r="C106" t="s">
        <v>662</v>
      </c>
      <c r="D106" t="s">
        <v>546</v>
      </c>
      <c r="E106" t="s">
        <v>547</v>
      </c>
      <c r="F106">
        <f>_xlfn.XLOOKUP(Orders4[[#This Row],[Order ID]],Details!$A:$A, Details!$B:$B)</f>
        <v>46</v>
      </c>
      <c r="G106">
        <f>_xlfn.XLOOKUP(Orders4[[#This Row],[Order ID]],Details!$A:$A,Details!C:C)</f>
        <v>0</v>
      </c>
      <c r="H106">
        <f>_xlfn.XLOOKUP(Orders4[[#This Row],[Order ID]],Details!$A:$A,Details!$D:$D)</f>
        <v>2</v>
      </c>
      <c r="I106" t="str">
        <f>_xlfn.XLOOKUP(Orders4[[#This Row],[Order ID]],Details!A:A,Details!$E:$E)</f>
        <v>Electronics</v>
      </c>
      <c r="J106" t="str">
        <f>_xlfn.XLOOKUP(Orders4[[#This Row],[Order ID]],Details!$A:$A,Details!$F:$F)</f>
        <v>Electronic Games</v>
      </c>
      <c r="K106" t="str">
        <f>_xlfn.XLOOKUP(Orders4[[#This Row],[Order ID]],Details!$A:$A,Details!$G:$G)</f>
        <v>COD</v>
      </c>
      <c r="L106">
        <f>Orders4[[#This Row],[Amount]]/Orders4[[#This Row],[Quantity]]</f>
        <v>23</v>
      </c>
    </row>
    <row r="107" spans="1:12" x14ac:dyDescent="0.25">
      <c r="A107" t="s">
        <v>435</v>
      </c>
      <c r="B107" s="1">
        <v>43282</v>
      </c>
      <c r="C107" t="s">
        <v>899</v>
      </c>
      <c r="D107" t="s">
        <v>647</v>
      </c>
      <c r="E107" t="s">
        <v>647</v>
      </c>
      <c r="F107">
        <f>_xlfn.XLOOKUP(Orders4[[#This Row],[Order ID]],Details!$A:$A, Details!$B:$B)</f>
        <v>31</v>
      </c>
      <c r="G107">
        <f>_xlfn.XLOOKUP(Orders4[[#This Row],[Order ID]],Details!$A:$A,Details!C:C)</f>
        <v>-11</v>
      </c>
      <c r="H107">
        <f>_xlfn.XLOOKUP(Orders4[[#This Row],[Order ID]],Details!$A:$A,Details!$D:$D)</f>
        <v>4</v>
      </c>
      <c r="I107" t="str">
        <f>_xlfn.XLOOKUP(Orders4[[#This Row],[Order ID]],Details!A:A,Details!$E:$E)</f>
        <v>Clothing</v>
      </c>
      <c r="J107" t="str">
        <f>_xlfn.XLOOKUP(Orders4[[#This Row],[Order ID]],Details!$A:$A,Details!$F:$F)</f>
        <v>Stole</v>
      </c>
      <c r="K107" t="str">
        <f>_xlfn.XLOOKUP(Orders4[[#This Row],[Order ID]],Details!$A:$A,Details!$G:$G)</f>
        <v>COD</v>
      </c>
      <c r="L107">
        <f>Orders4[[#This Row],[Amount]]/Orders4[[#This Row],[Quantity]]</f>
        <v>7.75</v>
      </c>
    </row>
    <row r="108" spans="1:12" x14ac:dyDescent="0.25">
      <c r="A108" t="s">
        <v>531</v>
      </c>
      <c r="B108" s="1">
        <v>43282</v>
      </c>
      <c r="C108" t="s">
        <v>846</v>
      </c>
      <c r="D108" t="s">
        <v>543</v>
      </c>
      <c r="E108" t="s">
        <v>544</v>
      </c>
      <c r="F108">
        <f>_xlfn.XLOOKUP(Orders4[[#This Row],[Order ID]],Details!$A:$A, Details!$B:$B)</f>
        <v>8</v>
      </c>
      <c r="G108">
        <f>_xlfn.XLOOKUP(Orders4[[#This Row],[Order ID]],Details!$A:$A,Details!C:C)</f>
        <v>-6</v>
      </c>
      <c r="H108">
        <f>_xlfn.XLOOKUP(Orders4[[#This Row],[Order ID]],Details!$A:$A,Details!$D:$D)</f>
        <v>1</v>
      </c>
      <c r="I108" t="str">
        <f>_xlfn.XLOOKUP(Orders4[[#This Row],[Order ID]],Details!A:A,Details!$E:$E)</f>
        <v>Clothing</v>
      </c>
      <c r="J108" t="str">
        <f>_xlfn.XLOOKUP(Orders4[[#This Row],[Order ID]],Details!$A:$A,Details!$F:$F)</f>
        <v>Stole</v>
      </c>
      <c r="K108" t="str">
        <f>_xlfn.XLOOKUP(Orders4[[#This Row],[Order ID]],Details!$A:$A,Details!$G:$G)</f>
        <v>COD</v>
      </c>
      <c r="L108">
        <f>Orders4[[#This Row],[Amount]]/Orders4[[#This Row],[Quantity]]</f>
        <v>8</v>
      </c>
    </row>
    <row r="109" spans="1:12" x14ac:dyDescent="0.25">
      <c r="A109" t="s">
        <v>152</v>
      </c>
      <c r="B109" s="1">
        <v>43282</v>
      </c>
      <c r="C109" t="s">
        <v>699</v>
      </c>
      <c r="D109" t="s">
        <v>546</v>
      </c>
      <c r="E109" t="s">
        <v>547</v>
      </c>
      <c r="F109">
        <f>_xlfn.XLOOKUP(Orders4[[#This Row],[Order ID]],Details!$A:$A, Details!$B:$B)</f>
        <v>709</v>
      </c>
      <c r="G109">
        <f>_xlfn.XLOOKUP(Orders4[[#This Row],[Order ID]],Details!$A:$A,Details!C:C)</f>
        <v>-100</v>
      </c>
      <c r="H109">
        <f>_xlfn.XLOOKUP(Orders4[[#This Row],[Order ID]],Details!$A:$A,Details!$D:$D)</f>
        <v>5</v>
      </c>
      <c r="I109" t="str">
        <f>_xlfn.XLOOKUP(Orders4[[#This Row],[Order ID]],Details!A:A,Details!$E:$E)</f>
        <v>Electronics</v>
      </c>
      <c r="J109" t="str">
        <f>_xlfn.XLOOKUP(Orders4[[#This Row],[Order ID]],Details!$A:$A,Details!$F:$F)</f>
        <v>Phones</v>
      </c>
      <c r="K109" t="str">
        <f>_xlfn.XLOOKUP(Orders4[[#This Row],[Order ID]],Details!$A:$A,Details!$G:$G)</f>
        <v>COD</v>
      </c>
      <c r="L109">
        <f>Orders4[[#This Row],[Amount]]/Orders4[[#This Row],[Quantity]]</f>
        <v>141.80000000000001</v>
      </c>
    </row>
    <row r="110" spans="1:12" x14ac:dyDescent="0.25">
      <c r="A110" t="s">
        <v>351</v>
      </c>
      <c r="B110" s="1">
        <v>43282</v>
      </c>
      <c r="C110" t="s">
        <v>892</v>
      </c>
      <c r="D110" t="s">
        <v>546</v>
      </c>
      <c r="E110" t="s">
        <v>547</v>
      </c>
      <c r="F110">
        <f>_xlfn.XLOOKUP(Orders4[[#This Row],[Order ID]],Details!$A:$A, Details!$B:$B)</f>
        <v>33</v>
      </c>
      <c r="G110">
        <f>_xlfn.XLOOKUP(Orders4[[#This Row],[Order ID]],Details!$A:$A,Details!C:C)</f>
        <v>-12</v>
      </c>
      <c r="H110">
        <f>_xlfn.XLOOKUP(Orders4[[#This Row],[Order ID]],Details!$A:$A,Details!$D:$D)</f>
        <v>7</v>
      </c>
      <c r="I110" t="str">
        <f>_xlfn.XLOOKUP(Orders4[[#This Row],[Order ID]],Details!A:A,Details!$E:$E)</f>
        <v>Clothing</v>
      </c>
      <c r="J110" t="str">
        <f>_xlfn.XLOOKUP(Orders4[[#This Row],[Order ID]],Details!$A:$A,Details!$F:$F)</f>
        <v>Saree</v>
      </c>
      <c r="K110" t="str">
        <f>_xlfn.XLOOKUP(Orders4[[#This Row],[Order ID]],Details!$A:$A,Details!$G:$G)</f>
        <v>UPI</v>
      </c>
      <c r="L110">
        <f>Orders4[[#This Row],[Amount]]/Orders4[[#This Row],[Quantity]]</f>
        <v>4.7142857142857144</v>
      </c>
    </row>
    <row r="111" spans="1:12" x14ac:dyDescent="0.25">
      <c r="A111" t="s">
        <v>62</v>
      </c>
      <c r="B111" s="1">
        <v>43286</v>
      </c>
      <c r="C111" t="s">
        <v>714</v>
      </c>
      <c r="D111" t="s">
        <v>543</v>
      </c>
      <c r="E111" t="s">
        <v>551</v>
      </c>
      <c r="F111">
        <f>_xlfn.XLOOKUP(Orders4[[#This Row],[Order ID]],Details!$A:$A, Details!$B:$B)</f>
        <v>10</v>
      </c>
      <c r="G111">
        <f>_xlfn.XLOOKUP(Orders4[[#This Row],[Order ID]],Details!$A:$A,Details!C:C)</f>
        <v>-1</v>
      </c>
      <c r="H111">
        <f>_xlfn.XLOOKUP(Orders4[[#This Row],[Order ID]],Details!$A:$A,Details!$D:$D)</f>
        <v>1</v>
      </c>
      <c r="I111" t="str">
        <f>_xlfn.XLOOKUP(Orders4[[#This Row],[Order ID]],Details!A:A,Details!$E:$E)</f>
        <v>Clothing</v>
      </c>
      <c r="J111" t="str">
        <f>_xlfn.XLOOKUP(Orders4[[#This Row],[Order ID]],Details!$A:$A,Details!$F:$F)</f>
        <v>Leggings</v>
      </c>
      <c r="K111" t="str">
        <f>_xlfn.XLOOKUP(Orders4[[#This Row],[Order ID]],Details!$A:$A,Details!$G:$G)</f>
        <v>UPI</v>
      </c>
      <c r="L111">
        <f>Orders4[[#This Row],[Amount]]/Orders4[[#This Row],[Quantity]]</f>
        <v>10</v>
      </c>
    </row>
    <row r="112" spans="1:12" x14ac:dyDescent="0.25">
      <c r="A112" t="s">
        <v>381</v>
      </c>
      <c r="B112" s="1">
        <v>43287</v>
      </c>
      <c r="C112" t="s">
        <v>758</v>
      </c>
      <c r="D112" t="s">
        <v>546</v>
      </c>
      <c r="E112" t="s">
        <v>578</v>
      </c>
      <c r="F112">
        <f>_xlfn.XLOOKUP(Orders4[[#This Row],[Order ID]],Details!$A:$A, Details!$B:$B)</f>
        <v>100</v>
      </c>
      <c r="G112">
        <f>_xlfn.XLOOKUP(Orders4[[#This Row],[Order ID]],Details!$A:$A,Details!C:C)</f>
        <v>-58</v>
      </c>
      <c r="H112">
        <f>_xlfn.XLOOKUP(Orders4[[#This Row],[Order ID]],Details!$A:$A,Details!$D:$D)</f>
        <v>4</v>
      </c>
      <c r="I112" t="str">
        <f>_xlfn.XLOOKUP(Orders4[[#This Row],[Order ID]],Details!A:A,Details!$E:$E)</f>
        <v>Clothing</v>
      </c>
      <c r="J112" t="str">
        <f>_xlfn.XLOOKUP(Orders4[[#This Row],[Order ID]],Details!$A:$A,Details!$F:$F)</f>
        <v>Hankerchief</v>
      </c>
      <c r="K112" t="str">
        <f>_xlfn.XLOOKUP(Orders4[[#This Row],[Order ID]],Details!$A:$A,Details!$G:$G)</f>
        <v>COD</v>
      </c>
      <c r="L112">
        <f>Orders4[[#This Row],[Amount]]/Orders4[[#This Row],[Quantity]]</f>
        <v>25</v>
      </c>
    </row>
    <row r="113" spans="1:12" x14ac:dyDescent="0.25">
      <c r="A113" t="s">
        <v>343</v>
      </c>
      <c r="B113" s="1">
        <v>43288</v>
      </c>
      <c r="C113" t="s">
        <v>802</v>
      </c>
      <c r="D113" t="s">
        <v>595</v>
      </c>
      <c r="E113" t="s">
        <v>635</v>
      </c>
      <c r="F113">
        <f>_xlfn.XLOOKUP(Orders4[[#This Row],[Order ID]],Details!$A:$A, Details!$B:$B)</f>
        <v>193</v>
      </c>
      <c r="G113">
        <f>_xlfn.XLOOKUP(Orders4[[#This Row],[Order ID]],Details!$A:$A,Details!C:C)</f>
        <v>-275</v>
      </c>
      <c r="H113">
        <f>_xlfn.XLOOKUP(Orders4[[#This Row],[Order ID]],Details!$A:$A,Details!$D:$D)</f>
        <v>3</v>
      </c>
      <c r="I113" t="str">
        <f>_xlfn.XLOOKUP(Orders4[[#This Row],[Order ID]],Details!A:A,Details!$E:$E)</f>
        <v>Electronics</v>
      </c>
      <c r="J113" t="str">
        <f>_xlfn.XLOOKUP(Orders4[[#This Row],[Order ID]],Details!$A:$A,Details!$F:$F)</f>
        <v>Phones</v>
      </c>
      <c r="K113" t="str">
        <f>_xlfn.XLOOKUP(Orders4[[#This Row],[Order ID]],Details!$A:$A,Details!$G:$G)</f>
        <v>Credit Card</v>
      </c>
      <c r="L113">
        <f>Orders4[[#This Row],[Amount]]/Orders4[[#This Row],[Quantity]]</f>
        <v>64.333333333333329</v>
      </c>
    </row>
    <row r="114" spans="1:12" x14ac:dyDescent="0.25">
      <c r="A114" t="s">
        <v>430</v>
      </c>
      <c r="B114" s="1">
        <v>43289</v>
      </c>
      <c r="C114" t="s">
        <v>818</v>
      </c>
      <c r="D114" t="s">
        <v>618</v>
      </c>
      <c r="E114" t="s">
        <v>619</v>
      </c>
      <c r="F114">
        <f>_xlfn.XLOOKUP(Orders4[[#This Row],[Order ID]],Details!$A:$A, Details!$B:$B)</f>
        <v>158</v>
      </c>
      <c r="G114">
        <f>_xlfn.XLOOKUP(Orders4[[#This Row],[Order ID]],Details!$A:$A,Details!C:C)</f>
        <v>-63</v>
      </c>
      <c r="H114">
        <f>_xlfn.XLOOKUP(Orders4[[#This Row],[Order ID]],Details!$A:$A,Details!$D:$D)</f>
        <v>4</v>
      </c>
      <c r="I114" t="str">
        <f>_xlfn.XLOOKUP(Orders4[[#This Row],[Order ID]],Details!A:A,Details!$E:$E)</f>
        <v>Furniture</v>
      </c>
      <c r="J114" t="str">
        <f>_xlfn.XLOOKUP(Orders4[[#This Row],[Order ID]],Details!$A:$A,Details!$F:$F)</f>
        <v>Chairs</v>
      </c>
      <c r="K114" t="str">
        <f>_xlfn.XLOOKUP(Orders4[[#This Row],[Order ID]],Details!$A:$A,Details!$G:$G)</f>
        <v>UPI</v>
      </c>
      <c r="L114">
        <f>Orders4[[#This Row],[Amount]]/Orders4[[#This Row],[Quantity]]</f>
        <v>39.5</v>
      </c>
    </row>
    <row r="115" spans="1:12" x14ac:dyDescent="0.25">
      <c r="A115" t="s">
        <v>85</v>
      </c>
      <c r="B115" s="1">
        <v>43290</v>
      </c>
      <c r="C115" t="s">
        <v>764</v>
      </c>
      <c r="D115" t="s">
        <v>598</v>
      </c>
      <c r="E115" t="s">
        <v>599</v>
      </c>
      <c r="F115">
        <f>_xlfn.XLOOKUP(Orders4[[#This Row],[Order ID]],Details!$A:$A, Details!$B:$B)</f>
        <v>11</v>
      </c>
      <c r="G115">
        <f>_xlfn.XLOOKUP(Orders4[[#This Row],[Order ID]],Details!$A:$A,Details!C:C)</f>
        <v>-5</v>
      </c>
      <c r="H115">
        <f>_xlfn.XLOOKUP(Orders4[[#This Row],[Order ID]],Details!$A:$A,Details!$D:$D)</f>
        <v>2</v>
      </c>
      <c r="I115" t="str">
        <f>_xlfn.XLOOKUP(Orders4[[#This Row],[Order ID]],Details!A:A,Details!$E:$E)</f>
        <v>Clothing</v>
      </c>
      <c r="J115" t="str">
        <f>_xlfn.XLOOKUP(Orders4[[#This Row],[Order ID]],Details!$A:$A,Details!$F:$F)</f>
        <v>Hankerchief</v>
      </c>
      <c r="K115" t="str">
        <f>_xlfn.XLOOKUP(Orders4[[#This Row],[Order ID]],Details!$A:$A,Details!$G:$G)</f>
        <v>COD</v>
      </c>
      <c r="L115">
        <f>Orders4[[#This Row],[Amount]]/Orders4[[#This Row],[Quantity]]</f>
        <v>5.5</v>
      </c>
    </row>
    <row r="116" spans="1:12" x14ac:dyDescent="0.25">
      <c r="A116" t="s">
        <v>487</v>
      </c>
      <c r="B116" s="1">
        <v>43291</v>
      </c>
      <c r="C116" t="s">
        <v>748</v>
      </c>
      <c r="D116" t="s">
        <v>627</v>
      </c>
      <c r="E116" t="s">
        <v>628</v>
      </c>
      <c r="F116">
        <f>_xlfn.XLOOKUP(Orders4[[#This Row],[Order ID]],Details!$A:$A, Details!$B:$B)</f>
        <v>416</v>
      </c>
      <c r="G116">
        <f>_xlfn.XLOOKUP(Orders4[[#This Row],[Order ID]],Details!$A:$A,Details!C:C)</f>
        <v>137</v>
      </c>
      <c r="H116">
        <f>_xlfn.XLOOKUP(Orders4[[#This Row],[Order ID]],Details!$A:$A,Details!$D:$D)</f>
        <v>3</v>
      </c>
      <c r="I116" t="str">
        <f>_xlfn.XLOOKUP(Orders4[[#This Row],[Order ID]],Details!A:A,Details!$E:$E)</f>
        <v>Electronics</v>
      </c>
      <c r="J116" t="str">
        <f>_xlfn.XLOOKUP(Orders4[[#This Row],[Order ID]],Details!$A:$A,Details!$F:$F)</f>
        <v>Phones</v>
      </c>
      <c r="K116" t="str">
        <f>_xlfn.XLOOKUP(Orders4[[#This Row],[Order ID]],Details!$A:$A,Details!$G:$G)</f>
        <v>Debit Card</v>
      </c>
      <c r="L116">
        <f>Orders4[[#This Row],[Amount]]/Orders4[[#This Row],[Quantity]]</f>
        <v>138.66666666666666</v>
      </c>
    </row>
    <row r="117" spans="1:12" x14ac:dyDescent="0.25">
      <c r="A117" t="s">
        <v>417</v>
      </c>
      <c r="B117" s="1">
        <v>43292</v>
      </c>
      <c r="C117" t="s">
        <v>605</v>
      </c>
      <c r="D117" t="s">
        <v>612</v>
      </c>
      <c r="E117" t="s">
        <v>613</v>
      </c>
      <c r="F117">
        <f>_xlfn.XLOOKUP(Orders4[[#This Row],[Order ID]],Details!$A:$A, Details!$B:$B)</f>
        <v>58</v>
      </c>
      <c r="G117">
        <f>_xlfn.XLOOKUP(Orders4[[#This Row],[Order ID]],Details!$A:$A,Details!C:C)</f>
        <v>0</v>
      </c>
      <c r="H117">
        <f>_xlfn.XLOOKUP(Orders4[[#This Row],[Order ID]],Details!$A:$A,Details!$D:$D)</f>
        <v>4</v>
      </c>
      <c r="I117" t="str">
        <f>_xlfn.XLOOKUP(Orders4[[#This Row],[Order ID]],Details!A:A,Details!$E:$E)</f>
        <v>Clothing</v>
      </c>
      <c r="J117" t="str">
        <f>_xlfn.XLOOKUP(Orders4[[#This Row],[Order ID]],Details!$A:$A,Details!$F:$F)</f>
        <v>Saree</v>
      </c>
      <c r="K117" t="str">
        <f>_xlfn.XLOOKUP(Orders4[[#This Row],[Order ID]],Details!$A:$A,Details!$G:$G)</f>
        <v>UPI</v>
      </c>
      <c r="L117">
        <f>Orders4[[#This Row],[Amount]]/Orders4[[#This Row],[Quantity]]</f>
        <v>14.5</v>
      </c>
    </row>
    <row r="118" spans="1:12" x14ac:dyDescent="0.25">
      <c r="A118" t="s">
        <v>227</v>
      </c>
      <c r="B118" s="1">
        <v>43293</v>
      </c>
      <c r="C118" t="s">
        <v>606</v>
      </c>
      <c r="D118" t="s">
        <v>537</v>
      </c>
      <c r="E118" t="s">
        <v>607</v>
      </c>
      <c r="F118">
        <f>_xlfn.XLOOKUP(Orders4[[#This Row],[Order ID]],Details!$A:$A, Details!$B:$B)</f>
        <v>561</v>
      </c>
      <c r="G118">
        <f>_xlfn.XLOOKUP(Orders4[[#This Row],[Order ID]],Details!$A:$A,Details!C:C)</f>
        <v>212</v>
      </c>
      <c r="H118">
        <f>_xlfn.XLOOKUP(Orders4[[#This Row],[Order ID]],Details!$A:$A,Details!$D:$D)</f>
        <v>3</v>
      </c>
      <c r="I118" t="str">
        <f>_xlfn.XLOOKUP(Orders4[[#This Row],[Order ID]],Details!A:A,Details!$E:$E)</f>
        <v>Clothing</v>
      </c>
      <c r="J118" t="str">
        <f>_xlfn.XLOOKUP(Orders4[[#This Row],[Order ID]],Details!$A:$A,Details!$F:$F)</f>
        <v>Saree</v>
      </c>
      <c r="K118" t="str">
        <f>_xlfn.XLOOKUP(Orders4[[#This Row],[Order ID]],Details!$A:$A,Details!$G:$G)</f>
        <v>Credit Card</v>
      </c>
      <c r="L118">
        <f>Orders4[[#This Row],[Amount]]/Orders4[[#This Row],[Quantity]]</f>
        <v>187</v>
      </c>
    </row>
    <row r="119" spans="1:12" x14ac:dyDescent="0.25">
      <c r="A119" t="s">
        <v>486</v>
      </c>
      <c r="B119" s="1">
        <v>43293</v>
      </c>
      <c r="C119" t="s">
        <v>655</v>
      </c>
      <c r="D119" t="s">
        <v>543</v>
      </c>
      <c r="E119" t="s">
        <v>544</v>
      </c>
      <c r="F119">
        <f>_xlfn.XLOOKUP(Orders4[[#This Row],[Order ID]],Details!$A:$A, Details!$B:$B)</f>
        <v>371</v>
      </c>
      <c r="G119">
        <f>_xlfn.XLOOKUP(Orders4[[#This Row],[Order ID]],Details!$A:$A,Details!C:C)</f>
        <v>115</v>
      </c>
      <c r="H119">
        <f>_xlfn.XLOOKUP(Orders4[[#This Row],[Order ID]],Details!$A:$A,Details!$D:$D)</f>
        <v>1</v>
      </c>
      <c r="I119" t="str">
        <f>_xlfn.XLOOKUP(Orders4[[#This Row],[Order ID]],Details!A:A,Details!$E:$E)</f>
        <v>Furniture</v>
      </c>
      <c r="J119" t="str">
        <f>_xlfn.XLOOKUP(Orders4[[#This Row],[Order ID]],Details!$A:$A,Details!$F:$F)</f>
        <v>Bookcases</v>
      </c>
      <c r="K119" t="str">
        <f>_xlfn.XLOOKUP(Orders4[[#This Row],[Order ID]],Details!$A:$A,Details!$G:$G)</f>
        <v>Debit Card</v>
      </c>
      <c r="L119">
        <f>Orders4[[#This Row],[Amount]]/Orders4[[#This Row],[Quantity]]</f>
        <v>371</v>
      </c>
    </row>
    <row r="120" spans="1:12" x14ac:dyDescent="0.25">
      <c r="A120" t="s">
        <v>356</v>
      </c>
      <c r="B120" s="1">
        <v>43293</v>
      </c>
      <c r="C120" t="s">
        <v>833</v>
      </c>
      <c r="D120" t="s">
        <v>546</v>
      </c>
      <c r="E120" t="s">
        <v>547</v>
      </c>
      <c r="F120">
        <f>_xlfn.XLOOKUP(Orders4[[#This Row],[Order ID]],Details!$A:$A, Details!$B:$B)</f>
        <v>29</v>
      </c>
      <c r="G120">
        <f>_xlfn.XLOOKUP(Orders4[[#This Row],[Order ID]],Details!$A:$A,Details!C:C)</f>
        <v>10</v>
      </c>
      <c r="H120">
        <f>_xlfn.XLOOKUP(Orders4[[#This Row],[Order ID]],Details!$A:$A,Details!$D:$D)</f>
        <v>2</v>
      </c>
      <c r="I120" t="str">
        <f>_xlfn.XLOOKUP(Orders4[[#This Row],[Order ID]],Details!A:A,Details!$E:$E)</f>
        <v>Clothing</v>
      </c>
      <c r="J120" t="str">
        <f>_xlfn.XLOOKUP(Orders4[[#This Row],[Order ID]],Details!$A:$A,Details!$F:$F)</f>
        <v>Stole</v>
      </c>
      <c r="K120" t="str">
        <f>_xlfn.XLOOKUP(Orders4[[#This Row],[Order ID]],Details!$A:$A,Details!$G:$G)</f>
        <v>COD</v>
      </c>
      <c r="L120">
        <f>Orders4[[#This Row],[Amount]]/Orders4[[#This Row],[Quantity]]</f>
        <v>14.5</v>
      </c>
    </row>
    <row r="121" spans="1:12" x14ac:dyDescent="0.25">
      <c r="A121" t="s">
        <v>206</v>
      </c>
      <c r="B121" s="1">
        <v>43296</v>
      </c>
      <c r="C121" t="s">
        <v>901</v>
      </c>
      <c r="D121" t="s">
        <v>575</v>
      </c>
      <c r="E121" t="s">
        <v>576</v>
      </c>
      <c r="F121">
        <f>_xlfn.XLOOKUP(Orders4[[#This Row],[Order ID]],Details!$A:$A, Details!$B:$B)</f>
        <v>30</v>
      </c>
      <c r="G121">
        <f>_xlfn.XLOOKUP(Orders4[[#This Row],[Order ID]],Details!$A:$A,Details!C:C)</f>
        <v>-35</v>
      </c>
      <c r="H121">
        <f>_xlfn.XLOOKUP(Orders4[[#This Row],[Order ID]],Details!$A:$A,Details!$D:$D)</f>
        <v>1</v>
      </c>
      <c r="I121" t="str">
        <f>_xlfn.XLOOKUP(Orders4[[#This Row],[Order ID]],Details!A:A,Details!$E:$E)</f>
        <v>Furniture</v>
      </c>
      <c r="J121" t="str">
        <f>_xlfn.XLOOKUP(Orders4[[#This Row],[Order ID]],Details!$A:$A,Details!$F:$F)</f>
        <v>Chairs</v>
      </c>
      <c r="K121" t="str">
        <f>_xlfn.XLOOKUP(Orders4[[#This Row],[Order ID]],Details!$A:$A,Details!$G:$G)</f>
        <v>COD</v>
      </c>
      <c r="L121">
        <f>Orders4[[#This Row],[Amount]]/Orders4[[#This Row],[Quantity]]</f>
        <v>30</v>
      </c>
    </row>
    <row r="122" spans="1:12" x14ac:dyDescent="0.25">
      <c r="A122" t="s">
        <v>340</v>
      </c>
      <c r="B122" s="1">
        <v>43297</v>
      </c>
      <c r="C122" t="s">
        <v>805</v>
      </c>
      <c r="D122" t="s">
        <v>593</v>
      </c>
      <c r="E122" t="s">
        <v>576</v>
      </c>
      <c r="F122">
        <f>_xlfn.XLOOKUP(Orders4[[#This Row],[Order ID]],Details!$A:$A, Details!$B:$B)</f>
        <v>149</v>
      </c>
      <c r="G122">
        <f>_xlfn.XLOOKUP(Orders4[[#This Row],[Order ID]],Details!$A:$A,Details!C:C)</f>
        <v>-40</v>
      </c>
      <c r="H122">
        <f>_xlfn.XLOOKUP(Orders4[[#This Row],[Order ID]],Details!$A:$A,Details!$D:$D)</f>
        <v>2</v>
      </c>
      <c r="I122" t="str">
        <f>_xlfn.XLOOKUP(Orders4[[#This Row],[Order ID]],Details!A:A,Details!$E:$E)</f>
        <v>Electronics</v>
      </c>
      <c r="J122" t="str">
        <f>_xlfn.XLOOKUP(Orders4[[#This Row],[Order ID]],Details!$A:$A,Details!$F:$F)</f>
        <v>Phones</v>
      </c>
      <c r="K122" t="str">
        <f>_xlfn.XLOOKUP(Orders4[[#This Row],[Order ID]],Details!$A:$A,Details!$G:$G)</f>
        <v>COD</v>
      </c>
      <c r="L122">
        <f>Orders4[[#This Row],[Amount]]/Orders4[[#This Row],[Quantity]]</f>
        <v>74.5</v>
      </c>
    </row>
    <row r="123" spans="1:12" x14ac:dyDescent="0.25">
      <c r="A123" t="s">
        <v>465</v>
      </c>
      <c r="B123" s="1">
        <v>43298</v>
      </c>
      <c r="C123" t="s">
        <v>888</v>
      </c>
      <c r="D123" t="s">
        <v>571</v>
      </c>
      <c r="E123" t="s">
        <v>572</v>
      </c>
      <c r="F123">
        <f>_xlfn.XLOOKUP(Orders4[[#This Row],[Order ID]],Details!$A:$A, Details!$B:$B)</f>
        <v>48</v>
      </c>
      <c r="G123">
        <f>_xlfn.XLOOKUP(Orders4[[#This Row],[Order ID]],Details!$A:$A,Details!C:C)</f>
        <v>-8</v>
      </c>
      <c r="H123">
        <f>_xlfn.XLOOKUP(Orders4[[#This Row],[Order ID]],Details!$A:$A,Details!$D:$D)</f>
        <v>8</v>
      </c>
      <c r="I123" t="str">
        <f>_xlfn.XLOOKUP(Orders4[[#This Row],[Order ID]],Details!A:A,Details!$E:$E)</f>
        <v>Clothing</v>
      </c>
      <c r="J123" t="str">
        <f>_xlfn.XLOOKUP(Orders4[[#This Row],[Order ID]],Details!$A:$A,Details!$F:$F)</f>
        <v>Stole</v>
      </c>
      <c r="K123" t="str">
        <f>_xlfn.XLOOKUP(Orders4[[#This Row],[Order ID]],Details!$A:$A,Details!$G:$G)</f>
        <v>COD</v>
      </c>
      <c r="L123">
        <f>Orders4[[#This Row],[Amount]]/Orders4[[#This Row],[Quantity]]</f>
        <v>6</v>
      </c>
    </row>
    <row r="124" spans="1:12" x14ac:dyDescent="0.25">
      <c r="A124" t="s">
        <v>66</v>
      </c>
      <c r="B124" s="1">
        <v>43299</v>
      </c>
      <c r="C124" t="s">
        <v>873</v>
      </c>
      <c r="D124" t="s">
        <v>543</v>
      </c>
      <c r="E124" t="s">
        <v>544</v>
      </c>
      <c r="F124">
        <f>_xlfn.XLOOKUP(Orders4[[#This Row],[Order ID]],Details!$A:$A, Details!$B:$B)</f>
        <v>12</v>
      </c>
      <c r="G124">
        <f>_xlfn.XLOOKUP(Orders4[[#This Row],[Order ID]],Details!$A:$A,Details!C:C)</f>
        <v>-7</v>
      </c>
      <c r="H124">
        <f>_xlfn.XLOOKUP(Orders4[[#This Row],[Order ID]],Details!$A:$A,Details!$D:$D)</f>
        <v>2</v>
      </c>
      <c r="I124" t="str">
        <f>_xlfn.XLOOKUP(Orders4[[#This Row],[Order ID]],Details!A:A,Details!$E:$E)</f>
        <v>Clothing</v>
      </c>
      <c r="J124" t="str">
        <f>_xlfn.XLOOKUP(Orders4[[#This Row],[Order ID]],Details!$A:$A,Details!$F:$F)</f>
        <v>Leggings</v>
      </c>
      <c r="K124" t="str">
        <f>_xlfn.XLOOKUP(Orders4[[#This Row],[Order ID]],Details!$A:$A,Details!$G:$G)</f>
        <v>UPI</v>
      </c>
      <c r="L124">
        <f>Orders4[[#This Row],[Amount]]/Orders4[[#This Row],[Quantity]]</f>
        <v>6</v>
      </c>
    </row>
    <row r="125" spans="1:12" x14ac:dyDescent="0.25">
      <c r="A125" t="s">
        <v>325</v>
      </c>
      <c r="B125" s="1">
        <v>43300</v>
      </c>
      <c r="C125" t="s">
        <v>603</v>
      </c>
      <c r="D125" t="s">
        <v>546</v>
      </c>
      <c r="E125" t="s">
        <v>547</v>
      </c>
      <c r="F125">
        <f>_xlfn.XLOOKUP(Orders4[[#This Row],[Order ID]],Details!$A:$A, Details!$B:$B)</f>
        <v>168</v>
      </c>
      <c r="G125">
        <f>_xlfn.XLOOKUP(Orders4[[#This Row],[Order ID]],Details!$A:$A,Details!C:C)</f>
        <v>-51</v>
      </c>
      <c r="H125">
        <f>_xlfn.XLOOKUP(Orders4[[#This Row],[Order ID]],Details!$A:$A,Details!$D:$D)</f>
        <v>2</v>
      </c>
      <c r="I125" t="str">
        <f>_xlfn.XLOOKUP(Orders4[[#This Row],[Order ID]],Details!A:A,Details!$E:$E)</f>
        <v>Furniture</v>
      </c>
      <c r="J125" t="str">
        <f>_xlfn.XLOOKUP(Orders4[[#This Row],[Order ID]],Details!$A:$A,Details!$F:$F)</f>
        <v>Bookcases</v>
      </c>
      <c r="K125" t="str">
        <f>_xlfn.XLOOKUP(Orders4[[#This Row],[Order ID]],Details!$A:$A,Details!$G:$G)</f>
        <v>COD</v>
      </c>
      <c r="L125">
        <f>Orders4[[#This Row],[Amount]]/Orders4[[#This Row],[Quantity]]</f>
        <v>84</v>
      </c>
    </row>
    <row r="126" spans="1:12" x14ac:dyDescent="0.25">
      <c r="A126" t="s">
        <v>418</v>
      </c>
      <c r="B126" s="1">
        <v>43301</v>
      </c>
      <c r="C126" t="s">
        <v>831</v>
      </c>
      <c r="D126" t="s">
        <v>584</v>
      </c>
      <c r="E126" t="s">
        <v>585</v>
      </c>
      <c r="F126">
        <f>_xlfn.XLOOKUP(Orders4[[#This Row],[Order ID]],Details!$A:$A, Details!$B:$B)</f>
        <v>144</v>
      </c>
      <c r="G126">
        <f>_xlfn.XLOOKUP(Orders4[[#This Row],[Order ID]],Details!$A:$A,Details!C:C)</f>
        <v>-7</v>
      </c>
      <c r="H126">
        <f>_xlfn.XLOOKUP(Orders4[[#This Row],[Order ID]],Details!$A:$A,Details!$D:$D)</f>
        <v>4</v>
      </c>
      <c r="I126" t="str">
        <f>_xlfn.XLOOKUP(Orders4[[#This Row],[Order ID]],Details!A:A,Details!$E:$E)</f>
        <v>Electronics</v>
      </c>
      <c r="J126" t="str">
        <f>_xlfn.XLOOKUP(Orders4[[#This Row],[Order ID]],Details!$A:$A,Details!$F:$F)</f>
        <v>Electronic Games</v>
      </c>
      <c r="K126" t="str">
        <f>_xlfn.XLOOKUP(Orders4[[#This Row],[Order ID]],Details!$A:$A,Details!$G:$G)</f>
        <v>COD</v>
      </c>
      <c r="L126">
        <f>Orders4[[#This Row],[Amount]]/Orders4[[#This Row],[Quantity]]</f>
        <v>36</v>
      </c>
    </row>
    <row r="127" spans="1:12" x14ac:dyDescent="0.25">
      <c r="A127" t="s">
        <v>497</v>
      </c>
      <c r="B127" s="1">
        <v>43302</v>
      </c>
      <c r="C127" t="s">
        <v>736</v>
      </c>
      <c r="D127" t="s">
        <v>543</v>
      </c>
      <c r="E127" t="s">
        <v>544</v>
      </c>
      <c r="F127">
        <f>_xlfn.XLOOKUP(Orders4[[#This Row],[Order ID]],Details!$A:$A, Details!$B:$B)</f>
        <v>490</v>
      </c>
      <c r="G127">
        <f>_xlfn.XLOOKUP(Orders4[[#This Row],[Order ID]],Details!$A:$A,Details!C:C)</f>
        <v>-128</v>
      </c>
      <c r="H127">
        <f>_xlfn.XLOOKUP(Orders4[[#This Row],[Order ID]],Details!$A:$A,Details!$D:$D)</f>
        <v>8</v>
      </c>
      <c r="I127" t="str">
        <f>_xlfn.XLOOKUP(Orders4[[#This Row],[Order ID]],Details!A:A,Details!$E:$E)</f>
        <v>Furniture</v>
      </c>
      <c r="J127" t="str">
        <f>_xlfn.XLOOKUP(Orders4[[#This Row],[Order ID]],Details!$A:$A,Details!$F:$F)</f>
        <v>Bookcases</v>
      </c>
      <c r="K127" t="str">
        <f>_xlfn.XLOOKUP(Orders4[[#This Row],[Order ID]],Details!$A:$A,Details!$G:$G)</f>
        <v>UPI</v>
      </c>
      <c r="L127">
        <f>Orders4[[#This Row],[Amount]]/Orders4[[#This Row],[Quantity]]</f>
        <v>61.25</v>
      </c>
    </row>
    <row r="128" spans="1:12" x14ac:dyDescent="0.25">
      <c r="A128" t="s">
        <v>240</v>
      </c>
      <c r="B128" s="1">
        <v>43303</v>
      </c>
      <c r="C128" t="s">
        <v>771</v>
      </c>
      <c r="D128" t="s">
        <v>546</v>
      </c>
      <c r="E128" t="s">
        <v>547</v>
      </c>
      <c r="F128">
        <f>_xlfn.XLOOKUP(Orders4[[#This Row],[Order ID]],Details!$A:$A, Details!$B:$B)</f>
        <v>327</v>
      </c>
      <c r="G128">
        <f>_xlfn.XLOOKUP(Orders4[[#This Row],[Order ID]],Details!$A:$A,Details!C:C)</f>
        <v>114</v>
      </c>
      <c r="H128">
        <f>_xlfn.XLOOKUP(Orders4[[#This Row],[Order ID]],Details!$A:$A,Details!$D:$D)</f>
        <v>4</v>
      </c>
      <c r="I128" t="str">
        <f>_xlfn.XLOOKUP(Orders4[[#This Row],[Order ID]],Details!A:A,Details!$E:$E)</f>
        <v>Clothing</v>
      </c>
      <c r="J128" t="str">
        <f>_xlfn.XLOOKUP(Orders4[[#This Row],[Order ID]],Details!$A:$A,Details!$F:$F)</f>
        <v>Trousers</v>
      </c>
      <c r="K128" t="str">
        <f>_xlfn.XLOOKUP(Orders4[[#This Row],[Order ID]],Details!$A:$A,Details!$G:$G)</f>
        <v>COD</v>
      </c>
      <c r="L128">
        <f>Orders4[[#This Row],[Amount]]/Orders4[[#This Row],[Quantity]]</f>
        <v>81.75</v>
      </c>
    </row>
    <row r="129" spans="1:12" x14ac:dyDescent="0.25">
      <c r="A129" t="s">
        <v>103</v>
      </c>
      <c r="B129" s="1">
        <v>43303</v>
      </c>
      <c r="C129" t="s">
        <v>654</v>
      </c>
      <c r="D129" t="s">
        <v>543</v>
      </c>
      <c r="E129" t="s">
        <v>551</v>
      </c>
      <c r="F129">
        <f>_xlfn.XLOOKUP(Orders4[[#This Row],[Order ID]],Details!$A:$A, Details!$B:$B)</f>
        <v>1055</v>
      </c>
      <c r="G129">
        <f>_xlfn.XLOOKUP(Orders4[[#This Row],[Order ID]],Details!$A:$A,Details!C:C)</f>
        <v>264</v>
      </c>
      <c r="H129">
        <f>_xlfn.XLOOKUP(Orders4[[#This Row],[Order ID]],Details!$A:$A,Details!$D:$D)</f>
        <v>4</v>
      </c>
      <c r="I129" t="str">
        <f>_xlfn.XLOOKUP(Orders4[[#This Row],[Order ID]],Details!A:A,Details!$E:$E)</f>
        <v>Electronics</v>
      </c>
      <c r="J129" t="str">
        <f>_xlfn.XLOOKUP(Orders4[[#This Row],[Order ID]],Details!$A:$A,Details!$F:$F)</f>
        <v>Printers</v>
      </c>
      <c r="K129" t="str">
        <f>_xlfn.XLOOKUP(Orders4[[#This Row],[Order ID]],Details!$A:$A,Details!$G:$G)</f>
        <v>EMI</v>
      </c>
      <c r="L129">
        <f>Orders4[[#This Row],[Amount]]/Orders4[[#This Row],[Quantity]]</f>
        <v>263.75</v>
      </c>
    </row>
    <row r="130" spans="1:12" x14ac:dyDescent="0.25">
      <c r="A130" t="s">
        <v>76</v>
      </c>
      <c r="B130" s="1">
        <v>43303</v>
      </c>
      <c r="C130" t="s">
        <v>601</v>
      </c>
      <c r="D130" t="s">
        <v>546</v>
      </c>
      <c r="E130" t="s">
        <v>578</v>
      </c>
      <c r="F130">
        <f>_xlfn.XLOOKUP(Orders4[[#This Row],[Order ID]],Details!$A:$A, Details!$B:$B)</f>
        <v>1549</v>
      </c>
      <c r="G130">
        <f>_xlfn.XLOOKUP(Orders4[[#This Row],[Order ID]],Details!$A:$A,Details!C:C)</f>
        <v>-439</v>
      </c>
      <c r="H130">
        <f>_xlfn.XLOOKUP(Orders4[[#This Row],[Order ID]],Details!$A:$A,Details!$D:$D)</f>
        <v>4</v>
      </c>
      <c r="I130" t="str">
        <f>_xlfn.XLOOKUP(Orders4[[#This Row],[Order ID]],Details!A:A,Details!$E:$E)</f>
        <v>Electronics</v>
      </c>
      <c r="J130" t="str">
        <f>_xlfn.XLOOKUP(Orders4[[#This Row],[Order ID]],Details!$A:$A,Details!$F:$F)</f>
        <v>Phones</v>
      </c>
      <c r="K130" t="str">
        <f>_xlfn.XLOOKUP(Orders4[[#This Row],[Order ID]],Details!$A:$A,Details!$G:$G)</f>
        <v>Credit Card</v>
      </c>
      <c r="L130">
        <f>Orders4[[#This Row],[Amount]]/Orders4[[#This Row],[Quantity]]</f>
        <v>387.25</v>
      </c>
    </row>
    <row r="131" spans="1:12" x14ac:dyDescent="0.25">
      <c r="A131" t="s">
        <v>121</v>
      </c>
      <c r="B131" s="1">
        <v>43303</v>
      </c>
      <c r="C131" t="s">
        <v>642</v>
      </c>
      <c r="D131" t="s">
        <v>595</v>
      </c>
      <c r="E131" t="s">
        <v>635</v>
      </c>
      <c r="F131">
        <f>_xlfn.XLOOKUP(Orders4[[#This Row],[Order ID]],Details!$A:$A, Details!$B:$B)</f>
        <v>1145</v>
      </c>
      <c r="G131">
        <f>_xlfn.XLOOKUP(Orders4[[#This Row],[Order ID]],Details!$A:$A,Details!C:C)</f>
        <v>-706</v>
      </c>
      <c r="H131">
        <f>_xlfn.XLOOKUP(Orders4[[#This Row],[Order ID]],Details!$A:$A,Details!$D:$D)</f>
        <v>3</v>
      </c>
      <c r="I131" t="str">
        <f>_xlfn.XLOOKUP(Orders4[[#This Row],[Order ID]],Details!A:A,Details!$E:$E)</f>
        <v>Electronics</v>
      </c>
      <c r="J131" t="str">
        <f>_xlfn.XLOOKUP(Orders4[[#This Row],[Order ID]],Details!$A:$A,Details!$F:$F)</f>
        <v>Phones</v>
      </c>
      <c r="K131" t="str">
        <f>_xlfn.XLOOKUP(Orders4[[#This Row],[Order ID]],Details!$A:$A,Details!$G:$G)</f>
        <v>Credit Card</v>
      </c>
      <c r="L131">
        <f>Orders4[[#This Row],[Amount]]/Orders4[[#This Row],[Quantity]]</f>
        <v>381.66666666666669</v>
      </c>
    </row>
    <row r="132" spans="1:12" x14ac:dyDescent="0.25">
      <c r="A132" t="s">
        <v>355</v>
      </c>
      <c r="B132" s="1">
        <v>43307</v>
      </c>
      <c r="C132" t="s">
        <v>838</v>
      </c>
      <c r="D132" t="s">
        <v>618</v>
      </c>
      <c r="E132" t="s">
        <v>619</v>
      </c>
      <c r="F132">
        <f>_xlfn.XLOOKUP(Orders4[[#This Row],[Order ID]],Details!$A:$A, Details!$B:$B)</f>
        <v>131</v>
      </c>
      <c r="G132">
        <f>_xlfn.XLOOKUP(Orders4[[#This Row],[Order ID]],Details!$A:$A,Details!C:C)</f>
        <v>-154</v>
      </c>
      <c r="H132">
        <f>_xlfn.XLOOKUP(Orders4[[#This Row],[Order ID]],Details!$A:$A,Details!$D:$D)</f>
        <v>8</v>
      </c>
      <c r="I132" t="str">
        <f>_xlfn.XLOOKUP(Orders4[[#This Row],[Order ID]],Details!A:A,Details!$E:$E)</f>
        <v>Furniture</v>
      </c>
      <c r="J132" t="str">
        <f>_xlfn.XLOOKUP(Orders4[[#This Row],[Order ID]],Details!$A:$A,Details!$F:$F)</f>
        <v>Furnishings</v>
      </c>
      <c r="K132" t="str">
        <f>_xlfn.XLOOKUP(Orders4[[#This Row],[Order ID]],Details!$A:$A,Details!$G:$G)</f>
        <v>COD</v>
      </c>
      <c r="L132">
        <f>Orders4[[#This Row],[Amount]]/Orders4[[#This Row],[Quantity]]</f>
        <v>16.375</v>
      </c>
    </row>
    <row r="133" spans="1:12" x14ac:dyDescent="0.25">
      <c r="A133" t="s">
        <v>421</v>
      </c>
      <c r="B133" s="1">
        <v>43308</v>
      </c>
      <c r="C133" t="s">
        <v>908</v>
      </c>
      <c r="D133" t="s">
        <v>598</v>
      </c>
      <c r="E133" t="s">
        <v>599</v>
      </c>
      <c r="F133">
        <f>_xlfn.XLOOKUP(Orders4[[#This Row],[Order ID]],Details!$A:$A, Details!$B:$B)</f>
        <v>16</v>
      </c>
      <c r="G133">
        <f>_xlfn.XLOOKUP(Orders4[[#This Row],[Order ID]],Details!$A:$A,Details!C:C)</f>
        <v>-5</v>
      </c>
      <c r="H133">
        <f>_xlfn.XLOOKUP(Orders4[[#This Row],[Order ID]],Details!$A:$A,Details!$D:$D)</f>
        <v>2</v>
      </c>
      <c r="I133" t="str">
        <f>_xlfn.XLOOKUP(Orders4[[#This Row],[Order ID]],Details!A:A,Details!$E:$E)</f>
        <v>Clothing</v>
      </c>
      <c r="J133" t="str">
        <f>_xlfn.XLOOKUP(Orders4[[#This Row],[Order ID]],Details!$A:$A,Details!$F:$F)</f>
        <v>Stole</v>
      </c>
      <c r="K133" t="str">
        <f>_xlfn.XLOOKUP(Orders4[[#This Row],[Order ID]],Details!$A:$A,Details!$G:$G)</f>
        <v>UPI</v>
      </c>
      <c r="L133">
        <f>Orders4[[#This Row],[Amount]]/Orders4[[#This Row],[Quantity]]</f>
        <v>8</v>
      </c>
    </row>
    <row r="134" spans="1:12" x14ac:dyDescent="0.25">
      <c r="A134" t="s">
        <v>266</v>
      </c>
      <c r="B134" s="1">
        <v>43309</v>
      </c>
      <c r="C134" t="s">
        <v>890</v>
      </c>
      <c r="D134" t="s">
        <v>543</v>
      </c>
      <c r="E134" t="s">
        <v>544</v>
      </c>
      <c r="F134">
        <f>_xlfn.XLOOKUP(Orders4[[#This Row],[Order ID]],Details!$A:$A, Details!$B:$B)</f>
        <v>43</v>
      </c>
      <c r="G134">
        <f>_xlfn.XLOOKUP(Orders4[[#This Row],[Order ID]],Details!$A:$A,Details!C:C)</f>
        <v>-43</v>
      </c>
      <c r="H134">
        <f>_xlfn.XLOOKUP(Orders4[[#This Row],[Order ID]],Details!$A:$A,Details!$D:$D)</f>
        <v>7</v>
      </c>
      <c r="I134" t="str">
        <f>_xlfn.XLOOKUP(Orders4[[#This Row],[Order ID]],Details!A:A,Details!$E:$E)</f>
        <v>Clothing</v>
      </c>
      <c r="J134" t="str">
        <f>_xlfn.XLOOKUP(Orders4[[#This Row],[Order ID]],Details!$A:$A,Details!$F:$F)</f>
        <v>Stole</v>
      </c>
      <c r="K134" t="str">
        <f>_xlfn.XLOOKUP(Orders4[[#This Row],[Order ID]],Details!$A:$A,Details!$G:$G)</f>
        <v>Debit Card</v>
      </c>
      <c r="L134">
        <f>Orders4[[#This Row],[Amount]]/Orders4[[#This Row],[Quantity]]</f>
        <v>6.1428571428571432</v>
      </c>
    </row>
    <row r="135" spans="1:12" x14ac:dyDescent="0.25">
      <c r="A135" t="s">
        <v>380</v>
      </c>
      <c r="B135" s="1">
        <v>43310</v>
      </c>
      <c r="C135" t="s">
        <v>673</v>
      </c>
      <c r="D135" t="s">
        <v>546</v>
      </c>
      <c r="E135" t="s">
        <v>547</v>
      </c>
      <c r="F135">
        <f>_xlfn.XLOOKUP(Orders4[[#This Row],[Order ID]],Details!$A:$A, Details!$B:$B)</f>
        <v>108</v>
      </c>
      <c r="G135">
        <f>_xlfn.XLOOKUP(Orders4[[#This Row],[Order ID]],Details!$A:$A,Details!C:C)</f>
        <v>-19</v>
      </c>
      <c r="H135">
        <f>_xlfn.XLOOKUP(Orders4[[#This Row],[Order ID]],Details!$A:$A,Details!$D:$D)</f>
        <v>3</v>
      </c>
      <c r="I135" t="str">
        <f>_xlfn.XLOOKUP(Orders4[[#This Row],[Order ID]],Details!A:A,Details!$E:$E)</f>
        <v>Electronics</v>
      </c>
      <c r="J135" t="str">
        <f>_xlfn.XLOOKUP(Orders4[[#This Row],[Order ID]],Details!$A:$A,Details!$F:$F)</f>
        <v>Electronic Games</v>
      </c>
      <c r="K135" t="str">
        <f>_xlfn.XLOOKUP(Orders4[[#This Row],[Order ID]],Details!$A:$A,Details!$G:$G)</f>
        <v>UPI</v>
      </c>
      <c r="L135">
        <f>Orders4[[#This Row],[Amount]]/Orders4[[#This Row],[Quantity]]</f>
        <v>36</v>
      </c>
    </row>
    <row r="136" spans="1:12" x14ac:dyDescent="0.25">
      <c r="A136" t="s">
        <v>42</v>
      </c>
      <c r="B136" s="1">
        <v>43311</v>
      </c>
      <c r="C136" t="s">
        <v>861</v>
      </c>
      <c r="D136" t="s">
        <v>537</v>
      </c>
      <c r="E136" t="s">
        <v>607</v>
      </c>
      <c r="F136">
        <f>_xlfn.XLOOKUP(Orders4[[#This Row],[Order ID]],Details!$A:$A, Details!$B:$B)</f>
        <v>7</v>
      </c>
      <c r="G136">
        <f>_xlfn.XLOOKUP(Orders4[[#This Row],[Order ID]],Details!$A:$A,Details!C:C)</f>
        <v>-1</v>
      </c>
      <c r="H136">
        <f>_xlfn.XLOOKUP(Orders4[[#This Row],[Order ID]],Details!$A:$A,Details!$D:$D)</f>
        <v>2</v>
      </c>
      <c r="I136" t="str">
        <f>_xlfn.XLOOKUP(Orders4[[#This Row],[Order ID]],Details!A:A,Details!$E:$E)</f>
        <v>Clothing</v>
      </c>
      <c r="J136" t="str">
        <f>_xlfn.XLOOKUP(Orders4[[#This Row],[Order ID]],Details!$A:$A,Details!$F:$F)</f>
        <v>Skirt</v>
      </c>
      <c r="K136" t="str">
        <f>_xlfn.XLOOKUP(Orders4[[#This Row],[Order ID]],Details!$A:$A,Details!$G:$G)</f>
        <v>UPI</v>
      </c>
      <c r="L136">
        <f>Orders4[[#This Row],[Amount]]/Orders4[[#This Row],[Quantity]]</f>
        <v>3.5</v>
      </c>
    </row>
    <row r="137" spans="1:12" x14ac:dyDescent="0.25">
      <c r="A137" t="s">
        <v>367</v>
      </c>
      <c r="B137" s="1">
        <v>43312</v>
      </c>
      <c r="C137" t="s">
        <v>900</v>
      </c>
      <c r="D137" t="s">
        <v>543</v>
      </c>
      <c r="E137" t="s">
        <v>544</v>
      </c>
      <c r="F137">
        <f>_xlfn.XLOOKUP(Orders4[[#This Row],[Order ID]],Details!$A:$A, Details!$B:$B)</f>
        <v>31</v>
      </c>
      <c r="G137">
        <f>_xlfn.XLOOKUP(Orders4[[#This Row],[Order ID]],Details!$A:$A,Details!C:C)</f>
        <v>-7</v>
      </c>
      <c r="H137">
        <f>_xlfn.XLOOKUP(Orders4[[#This Row],[Order ID]],Details!$A:$A,Details!$D:$D)</f>
        <v>5</v>
      </c>
      <c r="I137" t="str">
        <f>_xlfn.XLOOKUP(Orders4[[#This Row],[Order ID]],Details!A:A,Details!$E:$E)</f>
        <v>Clothing</v>
      </c>
      <c r="J137" t="str">
        <f>_xlfn.XLOOKUP(Orders4[[#This Row],[Order ID]],Details!$A:$A,Details!$F:$F)</f>
        <v>Skirt</v>
      </c>
      <c r="K137" t="str">
        <f>_xlfn.XLOOKUP(Orders4[[#This Row],[Order ID]],Details!$A:$A,Details!$G:$G)</f>
        <v>UPI</v>
      </c>
      <c r="L137">
        <f>Orders4[[#This Row],[Amount]]/Orders4[[#This Row],[Quantity]]</f>
        <v>6.2</v>
      </c>
    </row>
    <row r="138" spans="1:12" x14ac:dyDescent="0.25">
      <c r="A138" t="s">
        <v>314</v>
      </c>
      <c r="B138" s="1">
        <v>43313</v>
      </c>
      <c r="C138" t="s">
        <v>701</v>
      </c>
      <c r="D138" t="s">
        <v>546</v>
      </c>
      <c r="E138" t="s">
        <v>547</v>
      </c>
      <c r="F138">
        <f>_xlfn.XLOOKUP(Orders4[[#This Row],[Order ID]],Details!$A:$A, Details!$B:$B)</f>
        <v>187</v>
      </c>
      <c r="G138">
        <f>_xlfn.XLOOKUP(Orders4[[#This Row],[Order ID]],Details!$A:$A,Details!C:C)</f>
        <v>-15</v>
      </c>
      <c r="H138">
        <f>_xlfn.XLOOKUP(Orders4[[#This Row],[Order ID]],Details!$A:$A,Details!$D:$D)</f>
        <v>3</v>
      </c>
      <c r="I138" t="str">
        <f>_xlfn.XLOOKUP(Orders4[[#This Row],[Order ID]],Details!A:A,Details!$E:$E)</f>
        <v>Clothing</v>
      </c>
      <c r="J138" t="str">
        <f>_xlfn.XLOOKUP(Orders4[[#This Row],[Order ID]],Details!$A:$A,Details!$F:$F)</f>
        <v>Trousers</v>
      </c>
      <c r="K138" t="str">
        <f>_xlfn.XLOOKUP(Orders4[[#This Row],[Order ID]],Details!$A:$A,Details!$G:$G)</f>
        <v>COD</v>
      </c>
      <c r="L138">
        <f>Orders4[[#This Row],[Amount]]/Orders4[[#This Row],[Quantity]]</f>
        <v>62.333333333333336</v>
      </c>
    </row>
    <row r="139" spans="1:12" x14ac:dyDescent="0.25">
      <c r="A139" t="s">
        <v>344</v>
      </c>
      <c r="B139" s="1">
        <v>43314</v>
      </c>
      <c r="C139" t="s">
        <v>651</v>
      </c>
      <c r="D139" t="s">
        <v>575</v>
      </c>
      <c r="E139" t="s">
        <v>576</v>
      </c>
      <c r="F139">
        <f>_xlfn.XLOOKUP(Orders4[[#This Row],[Order ID]],Details!$A:$A, Details!$B:$B)</f>
        <v>70</v>
      </c>
      <c r="G139">
        <f>_xlfn.XLOOKUP(Orders4[[#This Row],[Order ID]],Details!$A:$A,Details!C:C)</f>
        <v>-14</v>
      </c>
      <c r="H139">
        <f>_xlfn.XLOOKUP(Orders4[[#This Row],[Order ID]],Details!$A:$A,Details!$D:$D)</f>
        <v>2</v>
      </c>
      <c r="I139" t="str">
        <f>_xlfn.XLOOKUP(Orders4[[#This Row],[Order ID]],Details!A:A,Details!$E:$E)</f>
        <v>Furniture</v>
      </c>
      <c r="J139" t="str">
        <f>_xlfn.XLOOKUP(Orders4[[#This Row],[Order ID]],Details!$A:$A,Details!$F:$F)</f>
        <v>Furnishings</v>
      </c>
      <c r="K139" t="str">
        <f>_xlfn.XLOOKUP(Orders4[[#This Row],[Order ID]],Details!$A:$A,Details!$G:$G)</f>
        <v>UPI</v>
      </c>
      <c r="L139">
        <f>Orders4[[#This Row],[Amount]]/Orders4[[#This Row],[Quantity]]</f>
        <v>35</v>
      </c>
    </row>
    <row r="140" spans="1:12" x14ac:dyDescent="0.25">
      <c r="A140" t="s">
        <v>353</v>
      </c>
      <c r="B140" s="1">
        <v>43315</v>
      </c>
      <c r="C140" t="s">
        <v>837</v>
      </c>
      <c r="D140" t="s">
        <v>593</v>
      </c>
      <c r="E140" t="s">
        <v>576</v>
      </c>
      <c r="F140">
        <f>_xlfn.XLOOKUP(Orders4[[#This Row],[Order ID]],Details!$A:$A, Details!$B:$B)</f>
        <v>133</v>
      </c>
      <c r="G140">
        <f>_xlfn.XLOOKUP(Orders4[[#This Row],[Order ID]],Details!$A:$A,Details!C:C)</f>
        <v>-56</v>
      </c>
      <c r="H140">
        <f>_xlfn.XLOOKUP(Orders4[[#This Row],[Order ID]],Details!$A:$A,Details!$D:$D)</f>
        <v>2</v>
      </c>
      <c r="I140" t="str">
        <f>_xlfn.XLOOKUP(Orders4[[#This Row],[Order ID]],Details!A:A,Details!$E:$E)</f>
        <v>Furniture</v>
      </c>
      <c r="J140" t="str">
        <f>_xlfn.XLOOKUP(Orders4[[#This Row],[Order ID]],Details!$A:$A,Details!$F:$F)</f>
        <v>Chairs</v>
      </c>
      <c r="K140" t="str">
        <f>_xlfn.XLOOKUP(Orders4[[#This Row],[Order ID]],Details!$A:$A,Details!$G:$G)</f>
        <v>COD</v>
      </c>
      <c r="L140">
        <f>Orders4[[#This Row],[Amount]]/Orders4[[#This Row],[Quantity]]</f>
        <v>66.5</v>
      </c>
    </row>
    <row r="141" spans="1:12" x14ac:dyDescent="0.25">
      <c r="A141" t="s">
        <v>438</v>
      </c>
      <c r="B141" s="1">
        <v>43315</v>
      </c>
      <c r="C141" t="s">
        <v>880</v>
      </c>
      <c r="D141" t="s">
        <v>543</v>
      </c>
      <c r="E141" t="s">
        <v>544</v>
      </c>
      <c r="F141">
        <f>_xlfn.XLOOKUP(Orders4[[#This Row],[Order ID]],Details!$A:$A, Details!$B:$B)</f>
        <v>58</v>
      </c>
      <c r="G141">
        <f>_xlfn.XLOOKUP(Orders4[[#This Row],[Order ID]],Details!$A:$A,Details!C:C)</f>
        <v>-8</v>
      </c>
      <c r="H141">
        <f>_xlfn.XLOOKUP(Orders4[[#This Row],[Order ID]],Details!$A:$A,Details!$D:$D)</f>
        <v>2</v>
      </c>
      <c r="I141" t="str">
        <f>_xlfn.XLOOKUP(Orders4[[#This Row],[Order ID]],Details!A:A,Details!$E:$E)</f>
        <v>Clothing</v>
      </c>
      <c r="J141" t="str">
        <f>_xlfn.XLOOKUP(Orders4[[#This Row],[Order ID]],Details!$A:$A,Details!$F:$F)</f>
        <v>Saree</v>
      </c>
      <c r="K141" t="str">
        <f>_xlfn.XLOOKUP(Orders4[[#This Row],[Order ID]],Details!$A:$A,Details!$G:$G)</f>
        <v>COD</v>
      </c>
      <c r="L141">
        <f>Orders4[[#This Row],[Amount]]/Orders4[[#This Row],[Quantity]]</f>
        <v>29</v>
      </c>
    </row>
    <row r="142" spans="1:12" x14ac:dyDescent="0.25">
      <c r="A142" t="s">
        <v>242</v>
      </c>
      <c r="B142" s="1">
        <v>43315</v>
      </c>
      <c r="C142" t="s">
        <v>738</v>
      </c>
      <c r="D142" t="s">
        <v>546</v>
      </c>
      <c r="E142" t="s">
        <v>547</v>
      </c>
      <c r="F142">
        <f>_xlfn.XLOOKUP(Orders4[[#This Row],[Order ID]],Details!$A:$A, Details!$B:$B)</f>
        <v>482</v>
      </c>
      <c r="G142">
        <f>_xlfn.XLOOKUP(Orders4[[#This Row],[Order ID]],Details!$A:$A,Details!C:C)</f>
        <v>-6</v>
      </c>
      <c r="H142">
        <f>_xlfn.XLOOKUP(Orders4[[#This Row],[Order ID]],Details!$A:$A,Details!$D:$D)</f>
        <v>7</v>
      </c>
      <c r="I142" t="str">
        <f>_xlfn.XLOOKUP(Orders4[[#This Row],[Order ID]],Details!A:A,Details!$E:$E)</f>
        <v>Electronics</v>
      </c>
      <c r="J142" t="str">
        <f>_xlfn.XLOOKUP(Orders4[[#This Row],[Order ID]],Details!$A:$A,Details!$F:$F)</f>
        <v>Electronic Games</v>
      </c>
      <c r="K142" t="str">
        <f>_xlfn.XLOOKUP(Orders4[[#This Row],[Order ID]],Details!$A:$A,Details!$G:$G)</f>
        <v>EMI</v>
      </c>
      <c r="L142">
        <f>Orders4[[#This Row],[Amount]]/Orders4[[#This Row],[Quantity]]</f>
        <v>68.857142857142861</v>
      </c>
    </row>
    <row r="143" spans="1:12" x14ac:dyDescent="0.25">
      <c r="A143" t="s">
        <v>368</v>
      </c>
      <c r="B143" s="1">
        <v>43315</v>
      </c>
      <c r="C143" t="s">
        <v>913</v>
      </c>
      <c r="D143" t="s">
        <v>647</v>
      </c>
      <c r="E143" t="s">
        <v>647</v>
      </c>
      <c r="F143">
        <f>_xlfn.XLOOKUP(Orders4[[#This Row],[Order ID]],Details!$A:$A, Details!$B:$B)</f>
        <v>11</v>
      </c>
      <c r="G143">
        <f>_xlfn.XLOOKUP(Orders4[[#This Row],[Order ID]],Details!$A:$A,Details!C:C)</f>
        <v>-8</v>
      </c>
      <c r="H143">
        <f>_xlfn.XLOOKUP(Orders4[[#This Row],[Order ID]],Details!$A:$A,Details!$D:$D)</f>
        <v>2</v>
      </c>
      <c r="I143" t="str">
        <f>_xlfn.XLOOKUP(Orders4[[#This Row],[Order ID]],Details!A:A,Details!$E:$E)</f>
        <v>Clothing</v>
      </c>
      <c r="J143" t="str">
        <f>_xlfn.XLOOKUP(Orders4[[#This Row],[Order ID]],Details!$A:$A,Details!$F:$F)</f>
        <v>Skirt</v>
      </c>
      <c r="K143" t="str">
        <f>_xlfn.XLOOKUP(Orders4[[#This Row],[Order ID]],Details!$A:$A,Details!$G:$G)</f>
        <v>UPI</v>
      </c>
      <c r="L143">
        <f>Orders4[[#This Row],[Amount]]/Orders4[[#This Row],[Quantity]]</f>
        <v>5.5</v>
      </c>
    </row>
    <row r="144" spans="1:12" x14ac:dyDescent="0.25">
      <c r="A144" t="s">
        <v>224</v>
      </c>
      <c r="B144" s="1">
        <v>43319</v>
      </c>
      <c r="C144" t="s">
        <v>733</v>
      </c>
      <c r="D144" t="s">
        <v>584</v>
      </c>
      <c r="E144" t="s">
        <v>585</v>
      </c>
      <c r="F144">
        <f>_xlfn.XLOOKUP(Orders4[[#This Row],[Order ID]],Details!$A:$A, Details!$B:$B)</f>
        <v>503</v>
      </c>
      <c r="G144">
        <f>_xlfn.XLOOKUP(Orders4[[#This Row],[Order ID]],Details!$A:$A,Details!C:C)</f>
        <v>-56</v>
      </c>
      <c r="H144">
        <f>_xlfn.XLOOKUP(Orders4[[#This Row],[Order ID]],Details!$A:$A,Details!$D:$D)</f>
        <v>2</v>
      </c>
      <c r="I144" t="str">
        <f>_xlfn.XLOOKUP(Orders4[[#This Row],[Order ID]],Details!A:A,Details!$E:$E)</f>
        <v>Clothing</v>
      </c>
      <c r="J144" t="str">
        <f>_xlfn.XLOOKUP(Orders4[[#This Row],[Order ID]],Details!$A:$A,Details!$F:$F)</f>
        <v>Trousers</v>
      </c>
      <c r="K144" t="str">
        <f>_xlfn.XLOOKUP(Orders4[[#This Row],[Order ID]],Details!$A:$A,Details!$G:$G)</f>
        <v>COD</v>
      </c>
      <c r="L144">
        <f>Orders4[[#This Row],[Amount]]/Orders4[[#This Row],[Quantity]]</f>
        <v>251.5</v>
      </c>
    </row>
    <row r="145" spans="1:12" x14ac:dyDescent="0.25">
      <c r="A145" t="s">
        <v>47</v>
      </c>
      <c r="B145" s="1">
        <v>43320</v>
      </c>
      <c r="C145" t="s">
        <v>759</v>
      </c>
      <c r="D145" t="s">
        <v>554</v>
      </c>
      <c r="E145" t="s">
        <v>555</v>
      </c>
      <c r="F145">
        <f>_xlfn.XLOOKUP(Orders4[[#This Row],[Order ID]],Details!$A:$A, Details!$B:$B)</f>
        <v>373</v>
      </c>
      <c r="G145">
        <f>_xlfn.XLOOKUP(Orders4[[#This Row],[Order ID]],Details!$A:$A,Details!C:C)</f>
        <v>254</v>
      </c>
      <c r="H145">
        <f>_xlfn.XLOOKUP(Orders4[[#This Row],[Order ID]],Details!$A:$A,Details!$D:$D)</f>
        <v>6</v>
      </c>
      <c r="I145" t="str">
        <f>_xlfn.XLOOKUP(Orders4[[#This Row],[Order ID]],Details!A:A,Details!$E:$E)</f>
        <v>Electronics</v>
      </c>
      <c r="J145" t="str">
        <f>_xlfn.XLOOKUP(Orders4[[#This Row],[Order ID]],Details!$A:$A,Details!$F:$F)</f>
        <v>Printers</v>
      </c>
      <c r="K145" t="str">
        <f>_xlfn.XLOOKUP(Orders4[[#This Row],[Order ID]],Details!$A:$A,Details!$G:$G)</f>
        <v>UPI</v>
      </c>
      <c r="L145">
        <f>Orders4[[#This Row],[Amount]]/Orders4[[#This Row],[Quantity]]</f>
        <v>62.166666666666664</v>
      </c>
    </row>
    <row r="146" spans="1:12" x14ac:dyDescent="0.25">
      <c r="A146" t="s">
        <v>252</v>
      </c>
      <c r="B146" s="1">
        <v>43321</v>
      </c>
      <c r="C146" t="s">
        <v>665</v>
      </c>
      <c r="D146" t="s">
        <v>559</v>
      </c>
      <c r="E146" t="s">
        <v>566</v>
      </c>
      <c r="F146">
        <f>_xlfn.XLOOKUP(Orders4[[#This Row],[Order ID]],Details!$A:$A, Details!$B:$B)</f>
        <v>296</v>
      </c>
      <c r="G146">
        <f>_xlfn.XLOOKUP(Orders4[[#This Row],[Order ID]],Details!$A:$A,Details!C:C)</f>
        <v>225</v>
      </c>
      <c r="H146">
        <f>_xlfn.XLOOKUP(Orders4[[#This Row],[Order ID]],Details!$A:$A,Details!$D:$D)</f>
        <v>11</v>
      </c>
      <c r="I146" t="str">
        <f>_xlfn.XLOOKUP(Orders4[[#This Row],[Order ID]],Details!A:A,Details!$E:$E)</f>
        <v>Clothing</v>
      </c>
      <c r="J146" t="str">
        <f>_xlfn.XLOOKUP(Orders4[[#This Row],[Order ID]],Details!$A:$A,Details!$F:$F)</f>
        <v>Saree</v>
      </c>
      <c r="K146" t="str">
        <f>_xlfn.XLOOKUP(Orders4[[#This Row],[Order ID]],Details!$A:$A,Details!$G:$G)</f>
        <v>COD</v>
      </c>
      <c r="L146">
        <f>Orders4[[#This Row],[Amount]]/Orders4[[#This Row],[Quantity]]</f>
        <v>26.90909090909091</v>
      </c>
    </row>
    <row r="147" spans="1:12" x14ac:dyDescent="0.25">
      <c r="A147" t="s">
        <v>466</v>
      </c>
      <c r="B147" s="1">
        <v>43322</v>
      </c>
      <c r="C147" t="s">
        <v>656</v>
      </c>
      <c r="D147" t="s">
        <v>543</v>
      </c>
      <c r="E147" t="s">
        <v>551</v>
      </c>
      <c r="F147">
        <f>_xlfn.XLOOKUP(Orders4[[#This Row],[Order ID]],Details!$A:$A, Details!$B:$B)</f>
        <v>87</v>
      </c>
      <c r="G147">
        <f>_xlfn.XLOOKUP(Orders4[[#This Row],[Order ID]],Details!$A:$A,Details!C:C)</f>
        <v>16</v>
      </c>
      <c r="H147">
        <f>_xlfn.XLOOKUP(Orders4[[#This Row],[Order ID]],Details!$A:$A,Details!$D:$D)</f>
        <v>2</v>
      </c>
      <c r="I147" t="str">
        <f>_xlfn.XLOOKUP(Orders4[[#This Row],[Order ID]],Details!A:A,Details!$E:$E)</f>
        <v>Clothing</v>
      </c>
      <c r="J147" t="str">
        <f>_xlfn.XLOOKUP(Orders4[[#This Row],[Order ID]],Details!$A:$A,Details!$F:$F)</f>
        <v>Saree</v>
      </c>
      <c r="K147" t="str">
        <f>_xlfn.XLOOKUP(Orders4[[#This Row],[Order ID]],Details!$A:$A,Details!$G:$G)</f>
        <v>UPI</v>
      </c>
      <c r="L147">
        <f>Orders4[[#This Row],[Amount]]/Orders4[[#This Row],[Quantity]]</f>
        <v>43.5</v>
      </c>
    </row>
    <row r="148" spans="1:12" x14ac:dyDescent="0.25">
      <c r="A148" t="s">
        <v>148</v>
      </c>
      <c r="B148" s="1">
        <v>43323</v>
      </c>
      <c r="C148" t="s">
        <v>668</v>
      </c>
      <c r="D148" t="s">
        <v>546</v>
      </c>
      <c r="E148" t="s">
        <v>578</v>
      </c>
      <c r="F148">
        <f>_xlfn.XLOOKUP(Orders4[[#This Row],[Order ID]],Details!$A:$A, Details!$B:$B)</f>
        <v>877</v>
      </c>
      <c r="G148">
        <f>_xlfn.XLOOKUP(Orders4[[#This Row],[Order ID]],Details!$A:$A,Details!C:C)</f>
        <v>395</v>
      </c>
      <c r="H148">
        <f>_xlfn.XLOOKUP(Orders4[[#This Row],[Order ID]],Details!$A:$A,Details!$D:$D)</f>
        <v>2</v>
      </c>
      <c r="I148" t="str">
        <f>_xlfn.XLOOKUP(Orders4[[#This Row],[Order ID]],Details!A:A,Details!$E:$E)</f>
        <v>Furniture</v>
      </c>
      <c r="J148" t="str">
        <f>_xlfn.XLOOKUP(Orders4[[#This Row],[Order ID]],Details!$A:$A,Details!$F:$F)</f>
        <v>Bookcases</v>
      </c>
      <c r="K148" t="str">
        <f>_xlfn.XLOOKUP(Orders4[[#This Row],[Order ID]],Details!$A:$A,Details!$G:$G)</f>
        <v>Credit Card</v>
      </c>
      <c r="L148">
        <f>Orders4[[#This Row],[Amount]]/Orders4[[#This Row],[Quantity]]</f>
        <v>438.5</v>
      </c>
    </row>
    <row r="149" spans="1:12" x14ac:dyDescent="0.25">
      <c r="A149" t="s">
        <v>326</v>
      </c>
      <c r="B149" s="1">
        <v>43324</v>
      </c>
      <c r="C149" t="s">
        <v>792</v>
      </c>
      <c r="D149" t="s">
        <v>595</v>
      </c>
      <c r="E149" t="s">
        <v>635</v>
      </c>
      <c r="F149">
        <f>_xlfn.XLOOKUP(Orders4[[#This Row],[Order ID]],Details!$A:$A, Details!$B:$B)</f>
        <v>47</v>
      </c>
      <c r="G149">
        <f>_xlfn.XLOOKUP(Orders4[[#This Row],[Order ID]],Details!$A:$A,Details!C:C)</f>
        <v>-21</v>
      </c>
      <c r="H149">
        <f>_xlfn.XLOOKUP(Orders4[[#This Row],[Order ID]],Details!$A:$A,Details!$D:$D)</f>
        <v>2</v>
      </c>
      <c r="I149" t="str">
        <f>_xlfn.XLOOKUP(Orders4[[#This Row],[Order ID]],Details!A:A,Details!$E:$E)</f>
        <v>Electronics</v>
      </c>
      <c r="J149" t="str">
        <f>_xlfn.XLOOKUP(Orders4[[#This Row],[Order ID]],Details!$A:$A,Details!$F:$F)</f>
        <v>Electronic Games</v>
      </c>
      <c r="K149" t="str">
        <f>_xlfn.XLOOKUP(Orders4[[#This Row],[Order ID]],Details!$A:$A,Details!$G:$G)</f>
        <v>COD</v>
      </c>
      <c r="L149">
        <f>Orders4[[#This Row],[Amount]]/Orders4[[#This Row],[Quantity]]</f>
        <v>23.5</v>
      </c>
    </row>
    <row r="150" spans="1:12" x14ac:dyDescent="0.25">
      <c r="A150" t="s">
        <v>176</v>
      </c>
      <c r="B150" s="1">
        <v>43325</v>
      </c>
      <c r="C150" t="s">
        <v>651</v>
      </c>
      <c r="D150" t="s">
        <v>543</v>
      </c>
      <c r="E150" t="s">
        <v>544</v>
      </c>
      <c r="F150">
        <f>_xlfn.XLOOKUP(Orders4[[#This Row],[Order ID]],Details!$A:$A, Details!$B:$B)</f>
        <v>1052</v>
      </c>
      <c r="G150">
        <f>_xlfn.XLOOKUP(Orders4[[#This Row],[Order ID]],Details!$A:$A,Details!C:C)</f>
        <v>-82</v>
      </c>
      <c r="H150">
        <f>_xlfn.XLOOKUP(Orders4[[#This Row],[Order ID]],Details!$A:$A,Details!$D:$D)</f>
        <v>3</v>
      </c>
      <c r="I150" t="str">
        <f>_xlfn.XLOOKUP(Orders4[[#This Row],[Order ID]],Details!A:A,Details!$E:$E)</f>
        <v>Furniture</v>
      </c>
      <c r="J150" t="str">
        <f>_xlfn.XLOOKUP(Orders4[[#This Row],[Order ID]],Details!$A:$A,Details!$F:$F)</f>
        <v>Bookcases</v>
      </c>
      <c r="K150" t="str">
        <f>_xlfn.XLOOKUP(Orders4[[#This Row],[Order ID]],Details!$A:$A,Details!$G:$G)</f>
        <v>UPI</v>
      </c>
      <c r="L150">
        <f>Orders4[[#This Row],[Amount]]/Orders4[[#This Row],[Quantity]]</f>
        <v>350.66666666666669</v>
      </c>
    </row>
    <row r="151" spans="1:12" x14ac:dyDescent="0.25">
      <c r="A151" t="s">
        <v>141</v>
      </c>
      <c r="B151" s="1">
        <v>43326</v>
      </c>
      <c r="C151" t="s">
        <v>725</v>
      </c>
      <c r="D151" t="s">
        <v>546</v>
      </c>
      <c r="E151" t="s">
        <v>547</v>
      </c>
      <c r="F151">
        <f>_xlfn.XLOOKUP(Orders4[[#This Row],[Order ID]],Details!$A:$A, Details!$B:$B)</f>
        <v>19</v>
      </c>
      <c r="G151">
        <f>_xlfn.XLOOKUP(Orders4[[#This Row],[Order ID]],Details!$A:$A,Details!C:C)</f>
        <v>-1</v>
      </c>
      <c r="H151">
        <f>_xlfn.XLOOKUP(Orders4[[#This Row],[Order ID]],Details!$A:$A,Details!$D:$D)</f>
        <v>1</v>
      </c>
      <c r="I151" t="str">
        <f>_xlfn.XLOOKUP(Orders4[[#This Row],[Order ID]],Details!A:A,Details!$E:$E)</f>
        <v>Clothing</v>
      </c>
      <c r="J151" t="str">
        <f>_xlfn.XLOOKUP(Orders4[[#This Row],[Order ID]],Details!$A:$A,Details!$F:$F)</f>
        <v>Shirt</v>
      </c>
      <c r="K151" t="str">
        <f>_xlfn.XLOOKUP(Orders4[[#This Row],[Order ID]],Details!$A:$A,Details!$G:$G)</f>
        <v>Debit Card</v>
      </c>
      <c r="L151">
        <f>Orders4[[#This Row],[Amount]]/Orders4[[#This Row],[Quantity]]</f>
        <v>19</v>
      </c>
    </row>
    <row r="152" spans="1:12" x14ac:dyDescent="0.25">
      <c r="A152" t="s">
        <v>262</v>
      </c>
      <c r="B152" s="1">
        <v>43326</v>
      </c>
      <c r="C152" t="s">
        <v>728</v>
      </c>
      <c r="D152" t="s">
        <v>543</v>
      </c>
      <c r="E152" t="s">
        <v>544</v>
      </c>
      <c r="F152">
        <f>_xlfn.XLOOKUP(Orders4[[#This Row],[Order ID]],Details!$A:$A, Details!$B:$B)</f>
        <v>32</v>
      </c>
      <c r="G152">
        <f>_xlfn.XLOOKUP(Orders4[[#This Row],[Order ID]],Details!$A:$A,Details!C:C)</f>
        <v>7</v>
      </c>
      <c r="H152">
        <f>_xlfn.XLOOKUP(Orders4[[#This Row],[Order ID]],Details!$A:$A,Details!$D:$D)</f>
        <v>3</v>
      </c>
      <c r="I152" t="str">
        <f>_xlfn.XLOOKUP(Orders4[[#This Row],[Order ID]],Details!A:A,Details!$E:$E)</f>
        <v>Clothing</v>
      </c>
      <c r="J152" t="str">
        <f>_xlfn.XLOOKUP(Orders4[[#This Row],[Order ID]],Details!$A:$A,Details!$F:$F)</f>
        <v>Hankerchief</v>
      </c>
      <c r="K152" t="str">
        <f>_xlfn.XLOOKUP(Orders4[[#This Row],[Order ID]],Details!$A:$A,Details!$G:$G)</f>
        <v>COD</v>
      </c>
      <c r="L152">
        <f>Orders4[[#This Row],[Amount]]/Orders4[[#This Row],[Quantity]]</f>
        <v>10.666666666666666</v>
      </c>
    </row>
    <row r="153" spans="1:12" x14ac:dyDescent="0.25">
      <c r="A153" t="s">
        <v>127</v>
      </c>
      <c r="B153" s="1">
        <v>43326</v>
      </c>
      <c r="C153" t="s">
        <v>614</v>
      </c>
      <c r="D153" t="s">
        <v>546</v>
      </c>
      <c r="E153" t="s">
        <v>547</v>
      </c>
      <c r="F153">
        <f>_xlfn.XLOOKUP(Orders4[[#This Row],[Order ID]],Details!$A:$A, Details!$B:$B)</f>
        <v>761</v>
      </c>
      <c r="G153">
        <f>_xlfn.XLOOKUP(Orders4[[#This Row],[Order ID]],Details!$A:$A,Details!C:C)</f>
        <v>266</v>
      </c>
      <c r="H153">
        <f>_xlfn.XLOOKUP(Orders4[[#This Row],[Order ID]],Details!$A:$A,Details!$D:$D)</f>
        <v>9</v>
      </c>
      <c r="I153" t="str">
        <f>_xlfn.XLOOKUP(Orders4[[#This Row],[Order ID]],Details!A:A,Details!$E:$E)</f>
        <v>Electronics</v>
      </c>
      <c r="J153" t="str">
        <f>_xlfn.XLOOKUP(Orders4[[#This Row],[Order ID]],Details!$A:$A,Details!$F:$F)</f>
        <v>Electronic Games</v>
      </c>
      <c r="K153" t="str">
        <f>_xlfn.XLOOKUP(Orders4[[#This Row],[Order ID]],Details!$A:$A,Details!$G:$G)</f>
        <v>COD</v>
      </c>
      <c r="L153">
        <f>Orders4[[#This Row],[Amount]]/Orders4[[#This Row],[Quantity]]</f>
        <v>84.555555555555557</v>
      </c>
    </row>
    <row r="154" spans="1:12" x14ac:dyDescent="0.25">
      <c r="A154" t="s">
        <v>288</v>
      </c>
      <c r="B154" s="1">
        <v>43329</v>
      </c>
      <c r="C154" t="s">
        <v>656</v>
      </c>
      <c r="D154" t="s">
        <v>537</v>
      </c>
      <c r="E154" t="s">
        <v>607</v>
      </c>
      <c r="F154">
        <f>_xlfn.XLOOKUP(Orders4[[#This Row],[Order ID]],Details!$A:$A, Details!$B:$B)</f>
        <v>341</v>
      </c>
      <c r="G154">
        <f>_xlfn.XLOOKUP(Orders4[[#This Row],[Order ID]],Details!$A:$A,Details!C:C)</f>
        <v>-85</v>
      </c>
      <c r="H154">
        <f>_xlfn.XLOOKUP(Orders4[[#This Row],[Order ID]],Details!$A:$A,Details!$D:$D)</f>
        <v>6</v>
      </c>
      <c r="I154" t="str">
        <f>_xlfn.XLOOKUP(Orders4[[#This Row],[Order ID]],Details!A:A,Details!$E:$E)</f>
        <v>Clothing</v>
      </c>
      <c r="J154" t="str">
        <f>_xlfn.XLOOKUP(Orders4[[#This Row],[Order ID]],Details!$A:$A,Details!$F:$F)</f>
        <v>Trousers</v>
      </c>
      <c r="K154" t="str">
        <f>_xlfn.XLOOKUP(Orders4[[#This Row],[Order ID]],Details!$A:$A,Details!$G:$G)</f>
        <v>Credit Card</v>
      </c>
      <c r="L154">
        <f>Orders4[[#This Row],[Amount]]/Orders4[[#This Row],[Quantity]]</f>
        <v>56.833333333333336</v>
      </c>
    </row>
    <row r="155" spans="1:12" x14ac:dyDescent="0.25">
      <c r="A155" t="s">
        <v>54</v>
      </c>
      <c r="B155" s="1">
        <v>43330</v>
      </c>
      <c r="C155" t="s">
        <v>773</v>
      </c>
      <c r="D155" t="s">
        <v>568</v>
      </c>
      <c r="E155" t="s">
        <v>569</v>
      </c>
      <c r="F155">
        <f>_xlfn.XLOOKUP(Orders4[[#This Row],[Order ID]],Details!$A:$A, Details!$B:$B)</f>
        <v>9</v>
      </c>
      <c r="G155">
        <f>_xlfn.XLOOKUP(Orders4[[#This Row],[Order ID]],Details!$A:$A,Details!C:C)</f>
        <v>-1</v>
      </c>
      <c r="H155">
        <f>_xlfn.XLOOKUP(Orders4[[#This Row],[Order ID]],Details!$A:$A,Details!$D:$D)</f>
        <v>3</v>
      </c>
      <c r="I155" t="str">
        <f>_xlfn.XLOOKUP(Orders4[[#This Row],[Order ID]],Details!A:A,Details!$E:$E)</f>
        <v>Clothing</v>
      </c>
      <c r="J155" t="str">
        <f>_xlfn.XLOOKUP(Orders4[[#This Row],[Order ID]],Details!$A:$A,Details!$F:$F)</f>
        <v>Skirt</v>
      </c>
      <c r="K155" t="str">
        <f>_xlfn.XLOOKUP(Orders4[[#This Row],[Order ID]],Details!$A:$A,Details!$G:$G)</f>
        <v>UPI</v>
      </c>
      <c r="L155">
        <f>Orders4[[#This Row],[Amount]]/Orders4[[#This Row],[Quantity]]</f>
        <v>3</v>
      </c>
    </row>
    <row r="156" spans="1:12" x14ac:dyDescent="0.25">
      <c r="A156" t="s">
        <v>67</v>
      </c>
      <c r="B156" s="1">
        <v>43331</v>
      </c>
      <c r="C156" t="s">
        <v>579</v>
      </c>
      <c r="D156" t="s">
        <v>580</v>
      </c>
      <c r="E156" t="s">
        <v>581</v>
      </c>
      <c r="F156">
        <f>_xlfn.XLOOKUP(Orders4[[#This Row],[Order ID]],Details!$A:$A, Details!$B:$B)</f>
        <v>1709</v>
      </c>
      <c r="G156">
        <f>_xlfn.XLOOKUP(Orders4[[#This Row],[Order ID]],Details!$A:$A,Details!C:C)</f>
        <v>564</v>
      </c>
      <c r="H156">
        <f>_xlfn.XLOOKUP(Orders4[[#This Row],[Order ID]],Details!$A:$A,Details!$D:$D)</f>
        <v>3</v>
      </c>
      <c r="I156" t="str">
        <f>_xlfn.XLOOKUP(Orders4[[#This Row],[Order ID]],Details!A:A,Details!$E:$E)</f>
        <v>Clothing</v>
      </c>
      <c r="J156" t="str">
        <f>_xlfn.XLOOKUP(Orders4[[#This Row],[Order ID]],Details!$A:$A,Details!$F:$F)</f>
        <v>Trousers</v>
      </c>
      <c r="K156" t="str">
        <f>_xlfn.XLOOKUP(Orders4[[#This Row],[Order ID]],Details!$A:$A,Details!$G:$G)</f>
        <v>Credit Card</v>
      </c>
      <c r="L156">
        <f>Orders4[[#This Row],[Amount]]/Orders4[[#This Row],[Quantity]]</f>
        <v>569.66666666666663</v>
      </c>
    </row>
    <row r="157" spans="1:12" x14ac:dyDescent="0.25">
      <c r="A157" t="s">
        <v>36</v>
      </c>
      <c r="B157" s="1">
        <v>43332</v>
      </c>
      <c r="C157" t="s">
        <v>592</v>
      </c>
      <c r="D157" t="s">
        <v>543</v>
      </c>
      <c r="E157" t="s">
        <v>544</v>
      </c>
      <c r="F157">
        <f>_xlfn.XLOOKUP(Orders4[[#This Row],[Order ID]],Details!$A:$A, Details!$B:$B)</f>
        <v>729</v>
      </c>
      <c r="G157">
        <f>_xlfn.XLOOKUP(Orders4[[#This Row],[Order ID]],Details!$A:$A,Details!C:C)</f>
        <v>-492</v>
      </c>
      <c r="H157">
        <f>_xlfn.XLOOKUP(Orders4[[#This Row],[Order ID]],Details!$A:$A,Details!$D:$D)</f>
        <v>5</v>
      </c>
      <c r="I157" t="str">
        <f>_xlfn.XLOOKUP(Orders4[[#This Row],[Order ID]],Details!A:A,Details!$E:$E)</f>
        <v>Furniture</v>
      </c>
      <c r="J157" t="str">
        <f>_xlfn.XLOOKUP(Orders4[[#This Row],[Order ID]],Details!$A:$A,Details!$F:$F)</f>
        <v>Bookcases</v>
      </c>
      <c r="K157" t="str">
        <f>_xlfn.XLOOKUP(Orders4[[#This Row],[Order ID]],Details!$A:$A,Details!$G:$G)</f>
        <v>UPI</v>
      </c>
      <c r="L157">
        <f>Orders4[[#This Row],[Amount]]/Orders4[[#This Row],[Quantity]]</f>
        <v>145.80000000000001</v>
      </c>
    </row>
    <row r="158" spans="1:12" x14ac:dyDescent="0.25">
      <c r="A158" t="s">
        <v>104</v>
      </c>
      <c r="B158" s="1">
        <v>43333</v>
      </c>
      <c r="C158" t="s">
        <v>545</v>
      </c>
      <c r="D158" t="s">
        <v>546</v>
      </c>
      <c r="E158" t="s">
        <v>547</v>
      </c>
      <c r="F158">
        <f>_xlfn.XLOOKUP(Orders4[[#This Row],[Order ID]],Details!$A:$A, Details!$B:$B)</f>
        <v>17</v>
      </c>
      <c r="G158">
        <f>_xlfn.XLOOKUP(Orders4[[#This Row],[Order ID]],Details!$A:$A,Details!C:C)</f>
        <v>-13</v>
      </c>
      <c r="H158">
        <f>_xlfn.XLOOKUP(Orders4[[#This Row],[Order ID]],Details!$A:$A,Details!$D:$D)</f>
        <v>4</v>
      </c>
      <c r="I158" t="str">
        <f>_xlfn.XLOOKUP(Orders4[[#This Row],[Order ID]],Details!A:A,Details!$E:$E)</f>
        <v>Clothing</v>
      </c>
      <c r="J158" t="str">
        <f>_xlfn.XLOOKUP(Orders4[[#This Row],[Order ID]],Details!$A:$A,Details!$F:$F)</f>
        <v>Skirt</v>
      </c>
      <c r="K158" t="str">
        <f>_xlfn.XLOOKUP(Orders4[[#This Row],[Order ID]],Details!$A:$A,Details!$G:$G)</f>
        <v>Debit Card</v>
      </c>
      <c r="L158">
        <f>Orders4[[#This Row],[Amount]]/Orders4[[#This Row],[Quantity]]</f>
        <v>4.25</v>
      </c>
    </row>
    <row r="159" spans="1:12" x14ac:dyDescent="0.25">
      <c r="A159" t="s">
        <v>530</v>
      </c>
      <c r="B159" s="1">
        <v>43334</v>
      </c>
      <c r="C159" t="s">
        <v>701</v>
      </c>
      <c r="D159" t="s">
        <v>571</v>
      </c>
      <c r="E159" t="s">
        <v>572</v>
      </c>
      <c r="F159">
        <f>_xlfn.XLOOKUP(Orders4[[#This Row],[Order ID]],Details!$A:$A, Details!$B:$B)</f>
        <v>8</v>
      </c>
      <c r="G159">
        <f>_xlfn.XLOOKUP(Orders4[[#This Row],[Order ID]],Details!$A:$A,Details!C:C)</f>
        <v>-2</v>
      </c>
      <c r="H159">
        <f>_xlfn.XLOOKUP(Orders4[[#This Row],[Order ID]],Details!$A:$A,Details!$D:$D)</f>
        <v>1</v>
      </c>
      <c r="I159" t="str">
        <f>_xlfn.XLOOKUP(Orders4[[#This Row],[Order ID]],Details!A:A,Details!$E:$E)</f>
        <v>Clothing</v>
      </c>
      <c r="J159" t="str">
        <f>_xlfn.XLOOKUP(Orders4[[#This Row],[Order ID]],Details!$A:$A,Details!$F:$F)</f>
        <v>Stole</v>
      </c>
      <c r="K159" t="str">
        <f>_xlfn.XLOOKUP(Orders4[[#This Row],[Order ID]],Details!$A:$A,Details!$G:$G)</f>
        <v>COD</v>
      </c>
      <c r="L159">
        <f>Orders4[[#This Row],[Amount]]/Orders4[[#This Row],[Quantity]]</f>
        <v>8</v>
      </c>
    </row>
    <row r="160" spans="1:12" x14ac:dyDescent="0.25">
      <c r="A160" t="s">
        <v>147</v>
      </c>
      <c r="B160" s="1">
        <v>43335</v>
      </c>
      <c r="C160" t="s">
        <v>731</v>
      </c>
      <c r="D160" t="s">
        <v>697</v>
      </c>
      <c r="E160" t="s">
        <v>698</v>
      </c>
      <c r="F160">
        <f>_xlfn.XLOOKUP(Orders4[[#This Row],[Order ID]],Details!$A:$A, Details!$B:$B)</f>
        <v>20</v>
      </c>
      <c r="G160">
        <f>_xlfn.XLOOKUP(Orders4[[#This Row],[Order ID]],Details!$A:$A,Details!C:C)</f>
        <v>-9</v>
      </c>
      <c r="H160">
        <f>_xlfn.XLOOKUP(Orders4[[#This Row],[Order ID]],Details!$A:$A,Details!$D:$D)</f>
        <v>6</v>
      </c>
      <c r="I160" t="str">
        <f>_xlfn.XLOOKUP(Orders4[[#This Row],[Order ID]],Details!A:A,Details!$E:$E)</f>
        <v>Clothing</v>
      </c>
      <c r="J160" t="str">
        <f>_xlfn.XLOOKUP(Orders4[[#This Row],[Order ID]],Details!$A:$A,Details!$F:$F)</f>
        <v>Hankerchief</v>
      </c>
      <c r="K160" t="str">
        <f>_xlfn.XLOOKUP(Orders4[[#This Row],[Order ID]],Details!$A:$A,Details!$G:$G)</f>
        <v>Debit Card</v>
      </c>
      <c r="L160">
        <f>Orders4[[#This Row],[Amount]]/Orders4[[#This Row],[Quantity]]</f>
        <v>3.3333333333333335</v>
      </c>
    </row>
    <row r="161" spans="1:12" x14ac:dyDescent="0.25">
      <c r="A161" t="s">
        <v>90</v>
      </c>
      <c r="B161" s="1">
        <v>43336</v>
      </c>
      <c r="C161" t="s">
        <v>573</v>
      </c>
      <c r="D161" t="s">
        <v>647</v>
      </c>
      <c r="E161" t="s">
        <v>647</v>
      </c>
      <c r="F161">
        <f>_xlfn.XLOOKUP(Orders4[[#This Row],[Order ID]],Details!$A:$A, Details!$B:$B)</f>
        <v>322</v>
      </c>
      <c r="G161">
        <f>_xlfn.XLOOKUP(Orders4[[#This Row],[Order ID]],Details!$A:$A,Details!C:C)</f>
        <v>-193</v>
      </c>
      <c r="H161">
        <f>_xlfn.XLOOKUP(Orders4[[#This Row],[Order ID]],Details!$A:$A,Details!$D:$D)</f>
        <v>5</v>
      </c>
      <c r="I161" t="str">
        <f>_xlfn.XLOOKUP(Orders4[[#This Row],[Order ID]],Details!A:A,Details!$E:$E)</f>
        <v>Electronics</v>
      </c>
      <c r="J161" t="str">
        <f>_xlfn.XLOOKUP(Orders4[[#This Row],[Order ID]],Details!$A:$A,Details!$F:$F)</f>
        <v>Printers</v>
      </c>
      <c r="K161" t="str">
        <f>_xlfn.XLOOKUP(Orders4[[#This Row],[Order ID]],Details!$A:$A,Details!$G:$G)</f>
        <v>UPI</v>
      </c>
      <c r="L161">
        <f>Orders4[[#This Row],[Amount]]/Orders4[[#This Row],[Quantity]]</f>
        <v>64.400000000000006</v>
      </c>
    </row>
    <row r="162" spans="1:12" x14ac:dyDescent="0.25">
      <c r="A162" t="s">
        <v>37</v>
      </c>
      <c r="B162" s="1">
        <v>43337</v>
      </c>
      <c r="C162" t="s">
        <v>539</v>
      </c>
      <c r="D162" t="s">
        <v>537</v>
      </c>
      <c r="E162" t="s">
        <v>538</v>
      </c>
      <c r="F162">
        <f>_xlfn.XLOOKUP(Orders4[[#This Row],[Order ID]],Details!$A:$A, Details!$B:$B)</f>
        <v>2188</v>
      </c>
      <c r="G162">
        <f>_xlfn.XLOOKUP(Orders4[[#This Row],[Order ID]],Details!$A:$A,Details!C:C)</f>
        <v>1050</v>
      </c>
      <c r="H162">
        <f>_xlfn.XLOOKUP(Orders4[[#This Row],[Order ID]],Details!$A:$A,Details!$D:$D)</f>
        <v>5</v>
      </c>
      <c r="I162" t="str">
        <f>_xlfn.XLOOKUP(Orders4[[#This Row],[Order ID]],Details!A:A,Details!$E:$E)</f>
        <v>Furniture</v>
      </c>
      <c r="J162" t="str">
        <f>_xlfn.XLOOKUP(Orders4[[#This Row],[Order ID]],Details!$A:$A,Details!$F:$F)</f>
        <v>Bookcases</v>
      </c>
      <c r="K162" t="str">
        <f>_xlfn.XLOOKUP(Orders4[[#This Row],[Order ID]],Details!$A:$A,Details!$G:$G)</f>
        <v>Credit Card</v>
      </c>
      <c r="L162">
        <f>Orders4[[#This Row],[Amount]]/Orders4[[#This Row],[Quantity]]</f>
        <v>437.6</v>
      </c>
    </row>
    <row r="163" spans="1:12" x14ac:dyDescent="0.25">
      <c r="A163" t="s">
        <v>91</v>
      </c>
      <c r="B163" s="1">
        <v>43338</v>
      </c>
      <c r="C163" t="s">
        <v>622</v>
      </c>
      <c r="D163" t="s">
        <v>546</v>
      </c>
      <c r="E163" t="s">
        <v>547</v>
      </c>
      <c r="F163">
        <f>_xlfn.XLOOKUP(Orders4[[#This Row],[Order ID]],Details!$A:$A, Details!$B:$B)</f>
        <v>1316</v>
      </c>
      <c r="G163">
        <f>_xlfn.XLOOKUP(Orders4[[#This Row],[Order ID]],Details!$A:$A,Details!C:C)</f>
        <v>527</v>
      </c>
      <c r="H163">
        <f>_xlfn.XLOOKUP(Orders4[[#This Row],[Order ID]],Details!$A:$A,Details!$D:$D)</f>
        <v>7</v>
      </c>
      <c r="I163" t="str">
        <f>_xlfn.XLOOKUP(Orders4[[#This Row],[Order ID]],Details!A:A,Details!$E:$E)</f>
        <v>Electronics</v>
      </c>
      <c r="J163" t="str">
        <f>_xlfn.XLOOKUP(Orders4[[#This Row],[Order ID]],Details!$A:$A,Details!$F:$F)</f>
        <v>Electronic Games</v>
      </c>
      <c r="K163" t="str">
        <f>_xlfn.XLOOKUP(Orders4[[#This Row],[Order ID]],Details!$A:$A,Details!$G:$G)</f>
        <v>Credit Card</v>
      </c>
      <c r="L163">
        <f>Orders4[[#This Row],[Amount]]/Orders4[[#This Row],[Quantity]]</f>
        <v>188</v>
      </c>
    </row>
    <row r="164" spans="1:12" x14ac:dyDescent="0.25">
      <c r="A164" t="s">
        <v>437</v>
      </c>
      <c r="B164" s="1">
        <v>43339</v>
      </c>
      <c r="C164" t="s">
        <v>881</v>
      </c>
      <c r="D164" t="s">
        <v>559</v>
      </c>
      <c r="E164" t="s">
        <v>566</v>
      </c>
      <c r="F164">
        <f>_xlfn.XLOOKUP(Orders4[[#This Row],[Order ID]],Details!$A:$A, Details!$B:$B)</f>
        <v>58</v>
      </c>
      <c r="G164">
        <f>_xlfn.XLOOKUP(Orders4[[#This Row],[Order ID]],Details!$A:$A,Details!C:C)</f>
        <v>-52</v>
      </c>
      <c r="H164">
        <f>_xlfn.XLOOKUP(Orders4[[#This Row],[Order ID]],Details!$A:$A,Details!$D:$D)</f>
        <v>3</v>
      </c>
      <c r="I164" t="str">
        <f>_xlfn.XLOOKUP(Orders4[[#This Row],[Order ID]],Details!A:A,Details!$E:$E)</f>
        <v>Furniture</v>
      </c>
      <c r="J164" t="str">
        <f>_xlfn.XLOOKUP(Orders4[[#This Row],[Order ID]],Details!$A:$A,Details!$F:$F)</f>
        <v>Chairs</v>
      </c>
      <c r="K164" t="str">
        <f>_xlfn.XLOOKUP(Orders4[[#This Row],[Order ID]],Details!$A:$A,Details!$G:$G)</f>
        <v>COD</v>
      </c>
      <c r="L164">
        <f>Orders4[[#This Row],[Amount]]/Orders4[[#This Row],[Quantity]]</f>
        <v>19.333333333333332</v>
      </c>
    </row>
    <row r="165" spans="1:12" x14ac:dyDescent="0.25">
      <c r="A165" t="s">
        <v>341</v>
      </c>
      <c r="B165" s="1">
        <v>43340</v>
      </c>
      <c r="C165" t="s">
        <v>684</v>
      </c>
      <c r="D165" t="s">
        <v>543</v>
      </c>
      <c r="E165" t="s">
        <v>551</v>
      </c>
      <c r="F165">
        <f>_xlfn.XLOOKUP(Orders4[[#This Row],[Order ID]],Details!$A:$A, Details!$B:$B)</f>
        <v>26</v>
      </c>
      <c r="G165">
        <f>_xlfn.XLOOKUP(Orders4[[#This Row],[Order ID]],Details!$A:$A,Details!C:C)</f>
        <v>0</v>
      </c>
      <c r="H165">
        <f>_xlfn.XLOOKUP(Orders4[[#This Row],[Order ID]],Details!$A:$A,Details!$D:$D)</f>
        <v>2</v>
      </c>
      <c r="I165" t="str">
        <f>_xlfn.XLOOKUP(Orders4[[#This Row],[Order ID]],Details!A:A,Details!$E:$E)</f>
        <v>Clothing</v>
      </c>
      <c r="J165" t="str">
        <f>_xlfn.XLOOKUP(Orders4[[#This Row],[Order ID]],Details!$A:$A,Details!$F:$F)</f>
        <v>Kurti</v>
      </c>
      <c r="K165" t="str">
        <f>_xlfn.XLOOKUP(Orders4[[#This Row],[Order ID]],Details!$A:$A,Details!$G:$G)</f>
        <v>COD</v>
      </c>
      <c r="L165">
        <f>Orders4[[#This Row],[Amount]]/Orders4[[#This Row],[Quantity]]</f>
        <v>13</v>
      </c>
    </row>
    <row r="166" spans="1:12" x14ac:dyDescent="0.25">
      <c r="A166" t="s">
        <v>350</v>
      </c>
      <c r="B166" s="1">
        <v>43341</v>
      </c>
      <c r="C166" t="s">
        <v>834</v>
      </c>
      <c r="D166" t="s">
        <v>546</v>
      </c>
      <c r="E166" t="s">
        <v>578</v>
      </c>
      <c r="F166">
        <f>_xlfn.XLOOKUP(Orders4[[#This Row],[Order ID]],Details!$A:$A, Details!$B:$B)</f>
        <v>139</v>
      </c>
      <c r="G166">
        <f>_xlfn.XLOOKUP(Orders4[[#This Row],[Order ID]],Details!$A:$A,Details!C:C)</f>
        <v>14</v>
      </c>
      <c r="H166">
        <f>_xlfn.XLOOKUP(Orders4[[#This Row],[Order ID]],Details!$A:$A,Details!$D:$D)</f>
        <v>3</v>
      </c>
      <c r="I166" t="str">
        <f>_xlfn.XLOOKUP(Orders4[[#This Row],[Order ID]],Details!A:A,Details!$E:$E)</f>
        <v>Clothing</v>
      </c>
      <c r="J166" t="str">
        <f>_xlfn.XLOOKUP(Orders4[[#This Row],[Order ID]],Details!$A:$A,Details!$F:$F)</f>
        <v>Stole</v>
      </c>
      <c r="K166" t="str">
        <f>_xlfn.XLOOKUP(Orders4[[#This Row],[Order ID]],Details!$A:$A,Details!$G:$G)</f>
        <v>COD</v>
      </c>
      <c r="L166">
        <f>Orders4[[#This Row],[Amount]]/Orders4[[#This Row],[Quantity]]</f>
        <v>46.333333333333336</v>
      </c>
    </row>
    <row r="167" spans="1:12" x14ac:dyDescent="0.25">
      <c r="A167" t="s">
        <v>448</v>
      </c>
      <c r="B167" s="1">
        <v>43342</v>
      </c>
      <c r="C167" t="s">
        <v>605</v>
      </c>
      <c r="D167" t="s">
        <v>595</v>
      </c>
      <c r="E167" t="s">
        <v>635</v>
      </c>
      <c r="F167">
        <f>_xlfn.XLOOKUP(Orders4[[#This Row],[Order ID]],Details!$A:$A, Details!$B:$B)</f>
        <v>220</v>
      </c>
      <c r="G167">
        <f>_xlfn.XLOOKUP(Orders4[[#This Row],[Order ID]],Details!$A:$A,Details!C:C)</f>
        <v>-19</v>
      </c>
      <c r="H167">
        <f>_xlfn.XLOOKUP(Orders4[[#This Row],[Order ID]],Details!$A:$A,Details!$D:$D)</f>
        <v>2</v>
      </c>
      <c r="I167" t="str">
        <f>_xlfn.XLOOKUP(Orders4[[#This Row],[Order ID]],Details!A:A,Details!$E:$E)</f>
        <v>Clothing</v>
      </c>
      <c r="J167" t="str">
        <f>_xlfn.XLOOKUP(Orders4[[#This Row],[Order ID]],Details!$A:$A,Details!$F:$F)</f>
        <v>Saree</v>
      </c>
      <c r="K167" t="str">
        <f>_xlfn.XLOOKUP(Orders4[[#This Row],[Order ID]],Details!$A:$A,Details!$G:$G)</f>
        <v>Debit Card</v>
      </c>
      <c r="L167">
        <f>Orders4[[#This Row],[Amount]]/Orders4[[#This Row],[Quantity]]</f>
        <v>110</v>
      </c>
    </row>
    <row r="168" spans="1:12" x14ac:dyDescent="0.25">
      <c r="A168" t="s">
        <v>284</v>
      </c>
      <c r="B168" s="1">
        <v>43343</v>
      </c>
      <c r="C168" t="s">
        <v>775</v>
      </c>
      <c r="D168" t="s">
        <v>618</v>
      </c>
      <c r="E168" t="s">
        <v>619</v>
      </c>
      <c r="F168">
        <f>_xlfn.XLOOKUP(Orders4[[#This Row],[Order ID]],Details!$A:$A, Details!$B:$B)</f>
        <v>299</v>
      </c>
      <c r="G168">
        <f>_xlfn.XLOOKUP(Orders4[[#This Row],[Order ID]],Details!$A:$A,Details!C:C)</f>
        <v>-28</v>
      </c>
      <c r="H168">
        <f>_xlfn.XLOOKUP(Orders4[[#This Row],[Order ID]],Details!$A:$A,Details!$D:$D)</f>
        <v>3</v>
      </c>
      <c r="I168" t="str">
        <f>_xlfn.XLOOKUP(Orders4[[#This Row],[Order ID]],Details!A:A,Details!$E:$E)</f>
        <v>Electronics</v>
      </c>
      <c r="J168" t="str">
        <f>_xlfn.XLOOKUP(Orders4[[#This Row],[Order ID]],Details!$A:$A,Details!$F:$F)</f>
        <v>Electronic Games</v>
      </c>
      <c r="K168" t="str">
        <f>_xlfn.XLOOKUP(Orders4[[#This Row],[Order ID]],Details!$A:$A,Details!$G:$G)</f>
        <v>UPI</v>
      </c>
      <c r="L168">
        <f>Orders4[[#This Row],[Amount]]/Orders4[[#This Row],[Quantity]]</f>
        <v>99.666666666666671</v>
      </c>
    </row>
    <row r="169" spans="1:12" x14ac:dyDescent="0.25">
      <c r="A169" t="s">
        <v>528</v>
      </c>
      <c r="B169" s="1">
        <v>43344</v>
      </c>
      <c r="C169" t="s">
        <v>597</v>
      </c>
      <c r="D169" t="s">
        <v>598</v>
      </c>
      <c r="E169" t="s">
        <v>599</v>
      </c>
      <c r="F169">
        <f>_xlfn.XLOOKUP(Orders4[[#This Row],[Order ID]],Details!$A:$A, Details!$B:$B)</f>
        <v>1582</v>
      </c>
      <c r="G169">
        <f>_xlfn.XLOOKUP(Orders4[[#This Row],[Order ID]],Details!$A:$A,Details!C:C)</f>
        <v>-443</v>
      </c>
      <c r="H169">
        <f>_xlfn.XLOOKUP(Orders4[[#This Row],[Order ID]],Details!$A:$A,Details!$D:$D)</f>
        <v>6</v>
      </c>
      <c r="I169" t="str">
        <f>_xlfn.XLOOKUP(Orders4[[#This Row],[Order ID]],Details!A:A,Details!$E:$E)</f>
        <v>Clothing</v>
      </c>
      <c r="J169" t="str">
        <f>_xlfn.XLOOKUP(Orders4[[#This Row],[Order ID]],Details!$A:$A,Details!$F:$F)</f>
        <v>Trousers</v>
      </c>
      <c r="K169" t="str">
        <f>_xlfn.XLOOKUP(Orders4[[#This Row],[Order ID]],Details!$A:$A,Details!$G:$G)</f>
        <v>EMI</v>
      </c>
      <c r="L169">
        <f>Orders4[[#This Row],[Amount]]/Orders4[[#This Row],[Quantity]]</f>
        <v>263.66666666666669</v>
      </c>
    </row>
    <row r="170" spans="1:12" x14ac:dyDescent="0.25">
      <c r="A170" t="s">
        <v>485</v>
      </c>
      <c r="B170" s="1">
        <v>43345</v>
      </c>
      <c r="C170" t="s">
        <v>745</v>
      </c>
      <c r="D170" t="s">
        <v>543</v>
      </c>
      <c r="E170" t="s">
        <v>544</v>
      </c>
      <c r="F170">
        <f>_xlfn.XLOOKUP(Orders4[[#This Row],[Order ID]],Details!$A:$A, Details!$B:$B)</f>
        <v>355</v>
      </c>
      <c r="G170">
        <f>_xlfn.XLOOKUP(Orders4[[#This Row],[Order ID]],Details!$A:$A,Details!C:C)</f>
        <v>-4</v>
      </c>
      <c r="H170">
        <f>_xlfn.XLOOKUP(Orders4[[#This Row],[Order ID]],Details!$A:$A,Details!$D:$D)</f>
        <v>2</v>
      </c>
      <c r="I170" t="str">
        <f>_xlfn.XLOOKUP(Orders4[[#This Row],[Order ID]],Details!A:A,Details!$E:$E)</f>
        <v>Clothing</v>
      </c>
      <c r="J170" t="str">
        <f>_xlfn.XLOOKUP(Orders4[[#This Row],[Order ID]],Details!$A:$A,Details!$F:$F)</f>
        <v>Saree</v>
      </c>
      <c r="K170" t="str">
        <f>_xlfn.XLOOKUP(Orders4[[#This Row],[Order ID]],Details!$A:$A,Details!$G:$G)</f>
        <v>Debit Card</v>
      </c>
      <c r="L170">
        <f>Orders4[[#This Row],[Amount]]/Orders4[[#This Row],[Quantity]]</f>
        <v>177.5</v>
      </c>
    </row>
    <row r="171" spans="1:12" x14ac:dyDescent="0.25">
      <c r="A171" t="s">
        <v>249</v>
      </c>
      <c r="B171" s="1">
        <v>43345</v>
      </c>
      <c r="C171" t="s">
        <v>758</v>
      </c>
      <c r="D171" t="s">
        <v>546</v>
      </c>
      <c r="E171" t="s">
        <v>547</v>
      </c>
      <c r="F171">
        <f>_xlfn.XLOOKUP(Orders4[[#This Row],[Order ID]],Details!$A:$A, Details!$B:$B)</f>
        <v>299</v>
      </c>
      <c r="G171">
        <f>_xlfn.XLOOKUP(Orders4[[#This Row],[Order ID]],Details!$A:$A,Details!C:C)</f>
        <v>113</v>
      </c>
      <c r="H171">
        <f>_xlfn.XLOOKUP(Orders4[[#This Row],[Order ID]],Details!$A:$A,Details!$D:$D)</f>
        <v>2</v>
      </c>
      <c r="I171" t="str">
        <f>_xlfn.XLOOKUP(Orders4[[#This Row],[Order ID]],Details!A:A,Details!$E:$E)</f>
        <v>Furniture</v>
      </c>
      <c r="J171" t="str">
        <f>_xlfn.XLOOKUP(Orders4[[#This Row],[Order ID]],Details!$A:$A,Details!$F:$F)</f>
        <v>Bookcases</v>
      </c>
      <c r="K171" t="str">
        <f>_xlfn.XLOOKUP(Orders4[[#This Row],[Order ID]],Details!$A:$A,Details!$G:$G)</f>
        <v>COD</v>
      </c>
      <c r="L171">
        <f>Orders4[[#This Row],[Amount]]/Orders4[[#This Row],[Quantity]]</f>
        <v>149.5</v>
      </c>
    </row>
    <row r="172" spans="1:12" x14ac:dyDescent="0.25">
      <c r="A172" t="s">
        <v>345</v>
      </c>
      <c r="B172" s="1">
        <v>43345</v>
      </c>
      <c r="C172" t="s">
        <v>826</v>
      </c>
      <c r="D172" t="s">
        <v>537</v>
      </c>
      <c r="E172" t="s">
        <v>607</v>
      </c>
      <c r="F172">
        <f>_xlfn.XLOOKUP(Orders4[[#This Row],[Order ID]],Details!$A:$A, Details!$B:$B)</f>
        <v>148</v>
      </c>
      <c r="G172">
        <f>_xlfn.XLOOKUP(Orders4[[#This Row],[Order ID]],Details!$A:$A,Details!C:C)</f>
        <v>59</v>
      </c>
      <c r="H172">
        <f>_xlfn.XLOOKUP(Orders4[[#This Row],[Order ID]],Details!$A:$A,Details!$D:$D)</f>
        <v>3</v>
      </c>
      <c r="I172" t="str">
        <f>_xlfn.XLOOKUP(Orders4[[#This Row],[Order ID]],Details!A:A,Details!$E:$E)</f>
        <v>Clothing</v>
      </c>
      <c r="J172" t="str">
        <f>_xlfn.XLOOKUP(Orders4[[#This Row],[Order ID]],Details!$A:$A,Details!$F:$F)</f>
        <v>Hankerchief</v>
      </c>
      <c r="K172" t="str">
        <f>_xlfn.XLOOKUP(Orders4[[#This Row],[Order ID]],Details!$A:$A,Details!$G:$G)</f>
        <v>COD</v>
      </c>
      <c r="L172">
        <f>Orders4[[#This Row],[Amount]]/Orders4[[#This Row],[Quantity]]</f>
        <v>49.333333333333336</v>
      </c>
    </row>
    <row r="173" spans="1:12" x14ac:dyDescent="0.25">
      <c r="A173" t="s">
        <v>77</v>
      </c>
      <c r="B173" s="1">
        <v>43345</v>
      </c>
      <c r="C173" t="s">
        <v>640</v>
      </c>
      <c r="D173" t="s">
        <v>568</v>
      </c>
      <c r="E173" t="s">
        <v>569</v>
      </c>
      <c r="F173">
        <f>_xlfn.XLOOKUP(Orders4[[#This Row],[Order ID]],Details!$A:$A, Details!$B:$B)</f>
        <v>1183</v>
      </c>
      <c r="G173">
        <f>_xlfn.XLOOKUP(Orders4[[#This Row],[Order ID]],Details!$A:$A,Details!C:C)</f>
        <v>106</v>
      </c>
      <c r="H173">
        <f>_xlfn.XLOOKUP(Orders4[[#This Row],[Order ID]],Details!$A:$A,Details!$D:$D)</f>
        <v>4</v>
      </c>
      <c r="I173" t="str">
        <f>_xlfn.XLOOKUP(Orders4[[#This Row],[Order ID]],Details!A:A,Details!$E:$E)</f>
        <v>Electronics</v>
      </c>
      <c r="J173" t="str">
        <f>_xlfn.XLOOKUP(Orders4[[#This Row],[Order ID]],Details!$A:$A,Details!$F:$F)</f>
        <v>Printers</v>
      </c>
      <c r="K173" t="str">
        <f>_xlfn.XLOOKUP(Orders4[[#This Row],[Order ID]],Details!$A:$A,Details!$G:$G)</f>
        <v>EMI</v>
      </c>
      <c r="L173">
        <f>Orders4[[#This Row],[Amount]]/Orders4[[#This Row],[Quantity]]</f>
        <v>295.75</v>
      </c>
    </row>
    <row r="174" spans="1:12" x14ac:dyDescent="0.25">
      <c r="A174" t="s">
        <v>289</v>
      </c>
      <c r="B174" s="1">
        <v>43349</v>
      </c>
      <c r="C174" t="s">
        <v>660</v>
      </c>
      <c r="D174" t="s">
        <v>580</v>
      </c>
      <c r="E174" t="s">
        <v>581</v>
      </c>
      <c r="F174">
        <f>_xlfn.XLOOKUP(Orders4[[#This Row],[Order ID]],Details!$A:$A, Details!$B:$B)</f>
        <v>224</v>
      </c>
      <c r="G174">
        <f>_xlfn.XLOOKUP(Orders4[[#This Row],[Order ID]],Details!$A:$A,Details!C:C)</f>
        <v>-143</v>
      </c>
      <c r="H174">
        <f>_xlfn.XLOOKUP(Orders4[[#This Row],[Order ID]],Details!$A:$A,Details!$D:$D)</f>
        <v>3</v>
      </c>
      <c r="I174" t="str">
        <f>_xlfn.XLOOKUP(Orders4[[#This Row],[Order ID]],Details!A:A,Details!$E:$E)</f>
        <v>Furniture</v>
      </c>
      <c r="J174" t="str">
        <f>_xlfn.XLOOKUP(Orders4[[#This Row],[Order ID]],Details!$A:$A,Details!$F:$F)</f>
        <v>Chairs</v>
      </c>
      <c r="K174" t="str">
        <f>_xlfn.XLOOKUP(Orders4[[#This Row],[Order ID]],Details!$A:$A,Details!$G:$G)</f>
        <v>COD</v>
      </c>
      <c r="L174">
        <f>Orders4[[#This Row],[Amount]]/Orders4[[#This Row],[Quantity]]</f>
        <v>74.666666666666671</v>
      </c>
    </row>
    <row r="175" spans="1:12" x14ac:dyDescent="0.25">
      <c r="A175" t="s">
        <v>373</v>
      </c>
      <c r="B175" s="1">
        <v>43350</v>
      </c>
      <c r="C175" t="s">
        <v>894</v>
      </c>
      <c r="D175" t="s">
        <v>575</v>
      </c>
      <c r="E175" t="s">
        <v>576</v>
      </c>
      <c r="F175">
        <f>_xlfn.XLOOKUP(Orders4[[#This Row],[Order ID]],Details!$A:$A, Details!$B:$B)</f>
        <v>38</v>
      </c>
      <c r="G175">
        <f>_xlfn.XLOOKUP(Orders4[[#This Row],[Order ID]],Details!$A:$A,Details!C:C)</f>
        <v>-6</v>
      </c>
      <c r="H175">
        <f>_xlfn.XLOOKUP(Orders4[[#This Row],[Order ID]],Details!$A:$A,Details!$D:$D)</f>
        <v>2</v>
      </c>
      <c r="I175" t="str">
        <f>_xlfn.XLOOKUP(Orders4[[#This Row],[Order ID]],Details!A:A,Details!$E:$E)</f>
        <v>Furniture</v>
      </c>
      <c r="J175" t="str">
        <f>_xlfn.XLOOKUP(Orders4[[#This Row],[Order ID]],Details!$A:$A,Details!$F:$F)</f>
        <v>Furnishings</v>
      </c>
      <c r="K175" t="str">
        <f>_xlfn.XLOOKUP(Orders4[[#This Row],[Order ID]],Details!$A:$A,Details!$G:$G)</f>
        <v>UPI</v>
      </c>
      <c r="L175">
        <f>Orders4[[#This Row],[Amount]]/Orders4[[#This Row],[Quantity]]</f>
        <v>19</v>
      </c>
    </row>
    <row r="176" spans="1:12" x14ac:dyDescent="0.25">
      <c r="A176" t="s">
        <v>460</v>
      </c>
      <c r="B176" s="1">
        <v>43351</v>
      </c>
      <c r="C176" t="s">
        <v>886</v>
      </c>
      <c r="D176" t="s">
        <v>593</v>
      </c>
      <c r="E176" t="s">
        <v>576</v>
      </c>
      <c r="F176">
        <f>_xlfn.XLOOKUP(Orders4[[#This Row],[Order ID]],Details!$A:$A, Details!$B:$B)</f>
        <v>50</v>
      </c>
      <c r="G176">
        <f>_xlfn.XLOOKUP(Orders4[[#This Row],[Order ID]],Details!$A:$A,Details!C:C)</f>
        <v>-17</v>
      </c>
      <c r="H176">
        <f>_xlfn.XLOOKUP(Orders4[[#This Row],[Order ID]],Details!$A:$A,Details!$D:$D)</f>
        <v>2</v>
      </c>
      <c r="I176" t="str">
        <f>_xlfn.XLOOKUP(Orders4[[#This Row],[Order ID]],Details!A:A,Details!$E:$E)</f>
        <v>Clothing</v>
      </c>
      <c r="J176" t="str">
        <f>_xlfn.XLOOKUP(Orders4[[#This Row],[Order ID]],Details!$A:$A,Details!$F:$F)</f>
        <v>Stole</v>
      </c>
      <c r="K176" t="str">
        <f>_xlfn.XLOOKUP(Orders4[[#This Row],[Order ID]],Details!$A:$A,Details!$G:$G)</f>
        <v>COD</v>
      </c>
      <c r="L176">
        <f>Orders4[[#This Row],[Amount]]/Orders4[[#This Row],[Quantity]]</f>
        <v>25</v>
      </c>
    </row>
    <row r="177" spans="1:12" x14ac:dyDescent="0.25">
      <c r="A177" t="s">
        <v>280</v>
      </c>
      <c r="B177" s="1">
        <v>43352</v>
      </c>
      <c r="C177" t="s">
        <v>889</v>
      </c>
      <c r="D177" t="s">
        <v>543</v>
      </c>
      <c r="E177" t="s">
        <v>544</v>
      </c>
      <c r="F177">
        <f>_xlfn.XLOOKUP(Orders4[[#This Row],[Order ID]],Details!$A:$A, Details!$B:$B)</f>
        <v>47</v>
      </c>
      <c r="G177">
        <f>_xlfn.XLOOKUP(Orders4[[#This Row],[Order ID]],Details!$A:$A,Details!C:C)</f>
        <v>-20</v>
      </c>
      <c r="H177">
        <f>_xlfn.XLOOKUP(Orders4[[#This Row],[Order ID]],Details!$A:$A,Details!$D:$D)</f>
        <v>2</v>
      </c>
      <c r="I177" t="str">
        <f>_xlfn.XLOOKUP(Orders4[[#This Row],[Order ID]],Details!A:A,Details!$E:$E)</f>
        <v>Clothing</v>
      </c>
      <c r="J177" t="str">
        <f>_xlfn.XLOOKUP(Orders4[[#This Row],[Order ID]],Details!$A:$A,Details!$F:$F)</f>
        <v>Kurti</v>
      </c>
      <c r="K177" t="str">
        <f>_xlfn.XLOOKUP(Orders4[[#This Row],[Order ID]],Details!$A:$A,Details!$G:$G)</f>
        <v>Debit Card</v>
      </c>
      <c r="L177">
        <f>Orders4[[#This Row],[Amount]]/Orders4[[#This Row],[Quantity]]</f>
        <v>23.5</v>
      </c>
    </row>
    <row r="178" spans="1:12" x14ac:dyDescent="0.25">
      <c r="A178" t="s">
        <v>97</v>
      </c>
      <c r="B178" s="1">
        <v>43353</v>
      </c>
      <c r="C178" t="s">
        <v>650</v>
      </c>
      <c r="D178" t="s">
        <v>546</v>
      </c>
      <c r="E178" t="s">
        <v>547</v>
      </c>
      <c r="F178">
        <f>_xlfn.XLOOKUP(Orders4[[#This Row],[Order ID]],Details!$A:$A, Details!$B:$B)</f>
        <v>1076</v>
      </c>
      <c r="G178">
        <f>_xlfn.XLOOKUP(Orders4[[#This Row],[Order ID]],Details!$A:$A,Details!C:C)</f>
        <v>-38</v>
      </c>
      <c r="H178">
        <f>_xlfn.XLOOKUP(Orders4[[#This Row],[Order ID]],Details!$A:$A,Details!$D:$D)</f>
        <v>4</v>
      </c>
      <c r="I178" t="str">
        <f>_xlfn.XLOOKUP(Orders4[[#This Row],[Order ID]],Details!A:A,Details!$E:$E)</f>
        <v>Electronics</v>
      </c>
      <c r="J178" t="str">
        <f>_xlfn.XLOOKUP(Orders4[[#This Row],[Order ID]],Details!$A:$A,Details!$F:$F)</f>
        <v>Printers</v>
      </c>
      <c r="K178" t="str">
        <f>_xlfn.XLOOKUP(Orders4[[#This Row],[Order ID]],Details!$A:$A,Details!$G:$G)</f>
        <v>Credit Card</v>
      </c>
      <c r="L178">
        <f>Orders4[[#This Row],[Amount]]/Orders4[[#This Row],[Quantity]]</f>
        <v>269</v>
      </c>
    </row>
    <row r="179" spans="1:12" x14ac:dyDescent="0.25">
      <c r="A179" t="s">
        <v>52</v>
      </c>
      <c r="B179" s="1">
        <v>43354</v>
      </c>
      <c r="C179" t="s">
        <v>605</v>
      </c>
      <c r="D179" t="s">
        <v>543</v>
      </c>
      <c r="E179" t="s">
        <v>544</v>
      </c>
      <c r="F179">
        <f>_xlfn.XLOOKUP(Orders4[[#This Row],[Order ID]],Details!$A:$A, Details!$B:$B)</f>
        <v>1506</v>
      </c>
      <c r="G179">
        <f>_xlfn.XLOOKUP(Orders4[[#This Row],[Order ID]],Details!$A:$A,Details!C:C)</f>
        <v>-266</v>
      </c>
      <c r="H179">
        <f>_xlfn.XLOOKUP(Orders4[[#This Row],[Order ID]],Details!$A:$A,Details!$D:$D)</f>
        <v>6</v>
      </c>
      <c r="I179" t="str">
        <f>_xlfn.XLOOKUP(Orders4[[#This Row],[Order ID]],Details!A:A,Details!$E:$E)</f>
        <v>Electronics</v>
      </c>
      <c r="J179" t="str">
        <f>_xlfn.XLOOKUP(Orders4[[#This Row],[Order ID]],Details!$A:$A,Details!$F:$F)</f>
        <v>Printers</v>
      </c>
      <c r="K179" t="str">
        <f>_xlfn.XLOOKUP(Orders4[[#This Row],[Order ID]],Details!$A:$A,Details!$G:$G)</f>
        <v>Credit Card</v>
      </c>
      <c r="L179">
        <f>Orders4[[#This Row],[Amount]]/Orders4[[#This Row],[Quantity]]</f>
        <v>251</v>
      </c>
    </row>
    <row r="180" spans="1:12" x14ac:dyDescent="0.25">
      <c r="A180" t="s">
        <v>70</v>
      </c>
      <c r="B180" s="1">
        <v>43355</v>
      </c>
      <c r="C180" t="s">
        <v>615</v>
      </c>
      <c r="D180" t="s">
        <v>543</v>
      </c>
      <c r="E180" t="s">
        <v>551</v>
      </c>
      <c r="F180">
        <f>_xlfn.XLOOKUP(Orders4[[#This Row],[Order ID]],Details!$A:$A, Details!$B:$B)</f>
        <v>1361</v>
      </c>
      <c r="G180">
        <f>_xlfn.XLOOKUP(Orders4[[#This Row],[Order ID]],Details!$A:$A,Details!C:C)</f>
        <v>980</v>
      </c>
      <c r="H180">
        <f>_xlfn.XLOOKUP(Orders4[[#This Row],[Order ID]],Details!$A:$A,Details!$D:$D)</f>
        <v>3</v>
      </c>
      <c r="I180" t="str">
        <f>_xlfn.XLOOKUP(Orders4[[#This Row],[Order ID]],Details!A:A,Details!$E:$E)</f>
        <v>Furniture</v>
      </c>
      <c r="J180" t="str">
        <f>_xlfn.XLOOKUP(Orders4[[#This Row],[Order ID]],Details!$A:$A,Details!$F:$F)</f>
        <v>Tables</v>
      </c>
      <c r="K180" t="str">
        <f>_xlfn.XLOOKUP(Orders4[[#This Row],[Order ID]],Details!$A:$A,Details!$G:$G)</f>
        <v>COD</v>
      </c>
      <c r="L180">
        <f>Orders4[[#This Row],[Amount]]/Orders4[[#This Row],[Quantity]]</f>
        <v>453.66666666666669</v>
      </c>
    </row>
    <row r="181" spans="1:12" x14ac:dyDescent="0.25">
      <c r="A181" t="s">
        <v>405</v>
      </c>
      <c r="B181" s="1">
        <v>43356</v>
      </c>
      <c r="C181" t="s">
        <v>835</v>
      </c>
      <c r="D181" t="s">
        <v>554</v>
      </c>
      <c r="E181" t="s">
        <v>555</v>
      </c>
      <c r="F181">
        <f>_xlfn.XLOOKUP(Orders4[[#This Row],[Order ID]],Details!$A:$A, Details!$B:$B)</f>
        <v>137</v>
      </c>
      <c r="G181">
        <f>_xlfn.XLOOKUP(Orders4[[#This Row],[Order ID]],Details!$A:$A,Details!C:C)</f>
        <v>-41</v>
      </c>
      <c r="H181">
        <f>_xlfn.XLOOKUP(Orders4[[#This Row],[Order ID]],Details!$A:$A,Details!$D:$D)</f>
        <v>3</v>
      </c>
      <c r="I181" t="str">
        <f>_xlfn.XLOOKUP(Orders4[[#This Row],[Order ID]],Details!A:A,Details!$E:$E)</f>
        <v>Electronics</v>
      </c>
      <c r="J181" t="str">
        <f>_xlfn.XLOOKUP(Orders4[[#This Row],[Order ID]],Details!$A:$A,Details!$F:$F)</f>
        <v>Phones</v>
      </c>
      <c r="K181" t="str">
        <f>_xlfn.XLOOKUP(Orders4[[#This Row],[Order ID]],Details!$A:$A,Details!$G:$G)</f>
        <v>Debit Card</v>
      </c>
      <c r="L181">
        <f>Orders4[[#This Row],[Amount]]/Orders4[[#This Row],[Quantity]]</f>
        <v>45.666666666666664</v>
      </c>
    </row>
    <row r="182" spans="1:12" x14ac:dyDescent="0.25">
      <c r="A182" t="s">
        <v>276</v>
      </c>
      <c r="B182" s="1">
        <v>43357</v>
      </c>
      <c r="C182" t="s">
        <v>683</v>
      </c>
      <c r="D182" t="s">
        <v>559</v>
      </c>
      <c r="E182" t="s">
        <v>566</v>
      </c>
      <c r="F182">
        <f>_xlfn.XLOOKUP(Orders4[[#This Row],[Order ID]],Details!$A:$A, Details!$B:$B)</f>
        <v>45</v>
      </c>
      <c r="G182">
        <f>_xlfn.XLOOKUP(Orders4[[#This Row],[Order ID]],Details!$A:$A,Details!C:C)</f>
        <v>-28</v>
      </c>
      <c r="H182">
        <f>_xlfn.XLOOKUP(Orders4[[#This Row],[Order ID]],Details!$A:$A,Details!$D:$D)</f>
        <v>2</v>
      </c>
      <c r="I182" t="str">
        <f>_xlfn.XLOOKUP(Orders4[[#This Row],[Order ID]],Details!A:A,Details!$E:$E)</f>
        <v>Clothing</v>
      </c>
      <c r="J182" t="str">
        <f>_xlfn.XLOOKUP(Orders4[[#This Row],[Order ID]],Details!$A:$A,Details!$F:$F)</f>
        <v>Stole</v>
      </c>
      <c r="K182" t="str">
        <f>_xlfn.XLOOKUP(Orders4[[#This Row],[Order ID]],Details!$A:$A,Details!$G:$G)</f>
        <v>Debit Card</v>
      </c>
      <c r="L182">
        <f>Orders4[[#This Row],[Amount]]/Orders4[[#This Row],[Quantity]]</f>
        <v>22.5</v>
      </c>
    </row>
    <row r="183" spans="1:12" x14ac:dyDescent="0.25">
      <c r="A183" t="s">
        <v>484</v>
      </c>
      <c r="B183" s="1">
        <v>43358</v>
      </c>
      <c r="C183" t="s">
        <v>767</v>
      </c>
      <c r="D183" t="s">
        <v>543</v>
      </c>
      <c r="E183" t="s">
        <v>544</v>
      </c>
      <c r="F183">
        <f>_xlfn.XLOOKUP(Orders4[[#This Row],[Order ID]],Details!$A:$A, Details!$B:$B)</f>
        <v>335</v>
      </c>
      <c r="G183">
        <f>_xlfn.XLOOKUP(Orders4[[#This Row],[Order ID]],Details!$A:$A,Details!C:C)</f>
        <v>-22</v>
      </c>
      <c r="H183">
        <f>_xlfn.XLOOKUP(Orders4[[#This Row],[Order ID]],Details!$A:$A,Details!$D:$D)</f>
        <v>7</v>
      </c>
      <c r="I183" t="str">
        <f>_xlfn.XLOOKUP(Orders4[[#This Row],[Order ID]],Details!A:A,Details!$E:$E)</f>
        <v>Furniture</v>
      </c>
      <c r="J183" t="str">
        <f>_xlfn.XLOOKUP(Orders4[[#This Row],[Order ID]],Details!$A:$A,Details!$F:$F)</f>
        <v>Chairs</v>
      </c>
      <c r="K183" t="str">
        <f>_xlfn.XLOOKUP(Orders4[[#This Row],[Order ID]],Details!$A:$A,Details!$G:$G)</f>
        <v>UPI</v>
      </c>
      <c r="L183">
        <f>Orders4[[#This Row],[Amount]]/Orders4[[#This Row],[Quantity]]</f>
        <v>47.857142857142854</v>
      </c>
    </row>
    <row r="184" spans="1:12" x14ac:dyDescent="0.25">
      <c r="A184" t="s">
        <v>388</v>
      </c>
      <c r="B184" s="1">
        <v>43358</v>
      </c>
      <c r="C184" t="s">
        <v>720</v>
      </c>
      <c r="D184" t="s">
        <v>546</v>
      </c>
      <c r="E184" t="s">
        <v>547</v>
      </c>
      <c r="F184">
        <f>_xlfn.XLOOKUP(Orders4[[#This Row],[Order ID]],Details!$A:$A, Details!$B:$B)</f>
        <v>33</v>
      </c>
      <c r="G184">
        <f>_xlfn.XLOOKUP(Orders4[[#This Row],[Order ID]],Details!$A:$A,Details!C:C)</f>
        <v>-10</v>
      </c>
      <c r="H184">
        <f>_xlfn.XLOOKUP(Orders4[[#This Row],[Order ID]],Details!$A:$A,Details!$D:$D)</f>
        <v>6</v>
      </c>
      <c r="I184" t="str">
        <f>_xlfn.XLOOKUP(Orders4[[#This Row],[Order ID]],Details!A:A,Details!$E:$E)</f>
        <v>Clothing</v>
      </c>
      <c r="J184" t="str">
        <f>_xlfn.XLOOKUP(Orders4[[#This Row],[Order ID]],Details!$A:$A,Details!$F:$F)</f>
        <v>Leggings</v>
      </c>
      <c r="K184" t="str">
        <f>_xlfn.XLOOKUP(Orders4[[#This Row],[Order ID]],Details!$A:$A,Details!$G:$G)</f>
        <v>UPI</v>
      </c>
      <c r="L184">
        <f>Orders4[[#This Row],[Amount]]/Orders4[[#This Row],[Quantity]]</f>
        <v>5.5</v>
      </c>
    </row>
    <row r="185" spans="1:12" x14ac:dyDescent="0.25">
      <c r="A185" t="s">
        <v>86</v>
      </c>
      <c r="B185" s="1">
        <v>43358</v>
      </c>
      <c r="C185" t="s">
        <v>910</v>
      </c>
      <c r="D185" t="s">
        <v>595</v>
      </c>
      <c r="E185" t="s">
        <v>635</v>
      </c>
      <c r="F185">
        <f>_xlfn.XLOOKUP(Orders4[[#This Row],[Order ID]],Details!$A:$A, Details!$B:$B)</f>
        <v>15</v>
      </c>
      <c r="G185">
        <f>_xlfn.XLOOKUP(Orders4[[#This Row],[Order ID]],Details!$A:$A,Details!C:C)</f>
        <v>4</v>
      </c>
      <c r="H185">
        <f>_xlfn.XLOOKUP(Orders4[[#This Row],[Order ID]],Details!$A:$A,Details!$D:$D)</f>
        <v>1</v>
      </c>
      <c r="I185" t="str">
        <f>_xlfn.XLOOKUP(Orders4[[#This Row],[Order ID]],Details!A:A,Details!$E:$E)</f>
        <v>Clothing</v>
      </c>
      <c r="J185" t="str">
        <f>_xlfn.XLOOKUP(Orders4[[#This Row],[Order ID]],Details!$A:$A,Details!$F:$F)</f>
        <v>Hankerchief</v>
      </c>
      <c r="K185" t="str">
        <f>_xlfn.XLOOKUP(Orders4[[#This Row],[Order ID]],Details!$A:$A,Details!$G:$G)</f>
        <v>Debit Card</v>
      </c>
      <c r="L185">
        <f>Orders4[[#This Row],[Amount]]/Orders4[[#This Row],[Quantity]]</f>
        <v>15</v>
      </c>
    </row>
    <row r="186" spans="1:12" x14ac:dyDescent="0.25">
      <c r="A186" t="s">
        <v>166</v>
      </c>
      <c r="B186" s="1">
        <v>43358</v>
      </c>
      <c r="C186" t="s">
        <v>651</v>
      </c>
      <c r="D186" t="s">
        <v>618</v>
      </c>
      <c r="E186" t="s">
        <v>619</v>
      </c>
      <c r="F186">
        <f>_xlfn.XLOOKUP(Orders4[[#This Row],[Order ID]],Details!$A:$A, Details!$B:$B)</f>
        <v>595</v>
      </c>
      <c r="G186">
        <f>_xlfn.XLOOKUP(Orders4[[#This Row],[Order ID]],Details!$A:$A,Details!C:C)</f>
        <v>292</v>
      </c>
      <c r="H186">
        <f>_xlfn.XLOOKUP(Orders4[[#This Row],[Order ID]],Details!$A:$A,Details!$D:$D)</f>
        <v>3</v>
      </c>
      <c r="I186" t="str">
        <f>_xlfn.XLOOKUP(Orders4[[#This Row],[Order ID]],Details!A:A,Details!$E:$E)</f>
        <v>Clothing</v>
      </c>
      <c r="J186" t="str">
        <f>_xlfn.XLOOKUP(Orders4[[#This Row],[Order ID]],Details!$A:$A,Details!$F:$F)</f>
        <v>Saree</v>
      </c>
      <c r="K186" t="str">
        <f>_xlfn.XLOOKUP(Orders4[[#This Row],[Order ID]],Details!$A:$A,Details!$G:$G)</f>
        <v>COD</v>
      </c>
      <c r="L186">
        <f>Orders4[[#This Row],[Amount]]/Orders4[[#This Row],[Quantity]]</f>
        <v>198.33333333333334</v>
      </c>
    </row>
    <row r="187" spans="1:12" x14ac:dyDescent="0.25">
      <c r="A187" t="s">
        <v>39</v>
      </c>
      <c r="B187" s="1">
        <v>43362</v>
      </c>
      <c r="C187" t="s">
        <v>541</v>
      </c>
      <c r="D187" t="s">
        <v>537</v>
      </c>
      <c r="E187" t="s">
        <v>538</v>
      </c>
      <c r="F187">
        <f>_xlfn.XLOOKUP(Orders4[[#This Row],[Order ID]],Details!$A:$A, Details!$B:$B)</f>
        <v>1854</v>
      </c>
      <c r="G187">
        <f>_xlfn.XLOOKUP(Orders4[[#This Row],[Order ID]],Details!$A:$A,Details!C:C)</f>
        <v>433</v>
      </c>
      <c r="H187">
        <f>_xlfn.XLOOKUP(Orders4[[#This Row],[Order ID]],Details!$A:$A,Details!$D:$D)</f>
        <v>5</v>
      </c>
      <c r="I187" t="str">
        <f>_xlfn.XLOOKUP(Orders4[[#This Row],[Order ID]],Details!A:A,Details!$E:$E)</f>
        <v>Furniture</v>
      </c>
      <c r="J187" t="str">
        <f>_xlfn.XLOOKUP(Orders4[[#This Row],[Order ID]],Details!$A:$A,Details!$F:$F)</f>
        <v>Bookcases</v>
      </c>
      <c r="K187" t="str">
        <f>_xlfn.XLOOKUP(Orders4[[#This Row],[Order ID]],Details!$A:$A,Details!$G:$G)</f>
        <v>Credit Card</v>
      </c>
      <c r="L187">
        <f>Orders4[[#This Row],[Amount]]/Orders4[[#This Row],[Quantity]]</f>
        <v>370.8</v>
      </c>
    </row>
    <row r="188" spans="1:12" x14ac:dyDescent="0.25">
      <c r="A188" t="s">
        <v>144</v>
      </c>
      <c r="B188" s="1">
        <v>43363</v>
      </c>
      <c r="C188" t="s">
        <v>723</v>
      </c>
      <c r="D188" t="s">
        <v>627</v>
      </c>
      <c r="E188" t="s">
        <v>628</v>
      </c>
      <c r="F188">
        <f>_xlfn.XLOOKUP(Orders4[[#This Row],[Order ID]],Details!$A:$A, Details!$B:$B)</f>
        <v>556</v>
      </c>
      <c r="G188">
        <f>_xlfn.XLOOKUP(Orders4[[#This Row],[Order ID]],Details!$A:$A,Details!C:C)</f>
        <v>-209</v>
      </c>
      <c r="H188">
        <f>_xlfn.XLOOKUP(Orders4[[#This Row],[Order ID]],Details!$A:$A,Details!$D:$D)</f>
        <v>7</v>
      </c>
      <c r="I188" t="str">
        <f>_xlfn.XLOOKUP(Orders4[[#This Row],[Order ID]],Details!A:A,Details!$E:$E)</f>
        <v>Clothing</v>
      </c>
      <c r="J188" t="str">
        <f>_xlfn.XLOOKUP(Orders4[[#This Row],[Order ID]],Details!$A:$A,Details!$F:$F)</f>
        <v>Saree</v>
      </c>
      <c r="K188" t="str">
        <f>_xlfn.XLOOKUP(Orders4[[#This Row],[Order ID]],Details!$A:$A,Details!$G:$G)</f>
        <v>COD</v>
      </c>
      <c r="L188">
        <f>Orders4[[#This Row],[Amount]]/Orders4[[#This Row],[Quantity]]</f>
        <v>79.428571428571431</v>
      </c>
    </row>
    <row r="189" spans="1:12" x14ac:dyDescent="0.25">
      <c r="A189" t="s">
        <v>68</v>
      </c>
      <c r="B189" s="1">
        <v>43364</v>
      </c>
      <c r="C189" t="s">
        <v>912</v>
      </c>
      <c r="D189" t="s">
        <v>612</v>
      </c>
      <c r="E189" t="s">
        <v>613</v>
      </c>
      <c r="F189">
        <f>_xlfn.XLOOKUP(Orders4[[#This Row],[Order ID]],Details!$A:$A, Details!$B:$B)</f>
        <v>12</v>
      </c>
      <c r="G189">
        <f>_xlfn.XLOOKUP(Orders4[[#This Row],[Order ID]],Details!$A:$A,Details!C:C)</f>
        <v>3</v>
      </c>
      <c r="H189">
        <f>_xlfn.XLOOKUP(Orders4[[#This Row],[Order ID]],Details!$A:$A,Details!$D:$D)</f>
        <v>1</v>
      </c>
      <c r="I189" t="str">
        <f>_xlfn.XLOOKUP(Orders4[[#This Row],[Order ID]],Details!A:A,Details!$E:$E)</f>
        <v>Clothing</v>
      </c>
      <c r="J189" t="str">
        <f>_xlfn.XLOOKUP(Orders4[[#This Row],[Order ID]],Details!$A:$A,Details!$F:$F)</f>
        <v>Stole</v>
      </c>
      <c r="K189" t="str">
        <f>_xlfn.XLOOKUP(Orders4[[#This Row],[Order ID]],Details!$A:$A,Details!$G:$G)</f>
        <v>UPI</v>
      </c>
      <c r="L189">
        <f>Orders4[[#This Row],[Amount]]/Orders4[[#This Row],[Quantity]]</f>
        <v>12</v>
      </c>
    </row>
    <row r="190" spans="1:12" x14ac:dyDescent="0.25">
      <c r="A190" t="s">
        <v>420</v>
      </c>
      <c r="B190" s="1">
        <v>43365</v>
      </c>
      <c r="C190" t="s">
        <v>773</v>
      </c>
      <c r="D190" t="s">
        <v>537</v>
      </c>
      <c r="E190" t="s">
        <v>607</v>
      </c>
      <c r="F190">
        <f>_xlfn.XLOOKUP(Orders4[[#This Row],[Order ID]],Details!$A:$A, Details!$B:$B)</f>
        <v>67</v>
      </c>
      <c r="G190">
        <f>_xlfn.XLOOKUP(Orders4[[#This Row],[Order ID]],Details!$A:$A,Details!C:C)</f>
        <v>-86</v>
      </c>
      <c r="H190">
        <f>_xlfn.XLOOKUP(Orders4[[#This Row],[Order ID]],Details!$A:$A,Details!$D:$D)</f>
        <v>9</v>
      </c>
      <c r="I190" t="str">
        <f>_xlfn.XLOOKUP(Orders4[[#This Row],[Order ID]],Details!A:A,Details!$E:$E)</f>
        <v>Furniture</v>
      </c>
      <c r="J190" t="str">
        <f>_xlfn.XLOOKUP(Orders4[[#This Row],[Order ID]],Details!$A:$A,Details!$F:$F)</f>
        <v>Furnishings</v>
      </c>
      <c r="K190" t="str">
        <f>_xlfn.XLOOKUP(Orders4[[#This Row],[Order ID]],Details!$A:$A,Details!$G:$G)</f>
        <v>COD</v>
      </c>
      <c r="L190">
        <f>Orders4[[#This Row],[Amount]]/Orders4[[#This Row],[Quantity]]</f>
        <v>7.4444444444444446</v>
      </c>
    </row>
    <row r="191" spans="1:12" x14ac:dyDescent="0.25">
      <c r="A191" t="s">
        <v>480</v>
      </c>
      <c r="B191" s="1">
        <v>43366</v>
      </c>
      <c r="C191" t="s">
        <v>891</v>
      </c>
      <c r="D191" t="s">
        <v>568</v>
      </c>
      <c r="E191" t="s">
        <v>569</v>
      </c>
      <c r="F191">
        <f>_xlfn.XLOOKUP(Orders4[[#This Row],[Order ID]],Details!$A:$A, Details!$B:$B)</f>
        <v>42</v>
      </c>
      <c r="G191">
        <f>_xlfn.XLOOKUP(Orders4[[#This Row],[Order ID]],Details!$A:$A,Details!C:C)</f>
        <v>-3</v>
      </c>
      <c r="H191">
        <f>_xlfn.XLOOKUP(Orders4[[#This Row],[Order ID]],Details!$A:$A,Details!$D:$D)</f>
        <v>1</v>
      </c>
      <c r="I191" t="str">
        <f>_xlfn.XLOOKUP(Orders4[[#This Row],[Order ID]],Details!A:A,Details!$E:$E)</f>
        <v>Electronics</v>
      </c>
      <c r="J191" t="str">
        <f>_xlfn.XLOOKUP(Orders4[[#This Row],[Order ID]],Details!$A:$A,Details!$F:$F)</f>
        <v>Electronic Games</v>
      </c>
      <c r="K191" t="str">
        <f>_xlfn.XLOOKUP(Orders4[[#This Row],[Order ID]],Details!$A:$A,Details!$G:$G)</f>
        <v>COD</v>
      </c>
      <c r="L191">
        <f>Orders4[[#This Row],[Amount]]/Orders4[[#This Row],[Quantity]]</f>
        <v>42</v>
      </c>
    </row>
    <row r="192" spans="1:12" x14ac:dyDescent="0.25">
      <c r="A192" t="s">
        <v>222</v>
      </c>
      <c r="B192" s="1">
        <v>43367</v>
      </c>
      <c r="C192" t="s">
        <v>718</v>
      </c>
      <c r="D192" t="s">
        <v>580</v>
      </c>
      <c r="E192" t="s">
        <v>581</v>
      </c>
      <c r="F192">
        <f>_xlfn.XLOOKUP(Orders4[[#This Row],[Order ID]],Details!$A:$A, Details!$B:$B)</f>
        <v>565</v>
      </c>
      <c r="G192">
        <f>_xlfn.XLOOKUP(Orders4[[#This Row],[Order ID]],Details!$A:$A,Details!C:C)</f>
        <v>66</v>
      </c>
      <c r="H192">
        <f>_xlfn.XLOOKUP(Orders4[[#This Row],[Order ID]],Details!$A:$A,Details!$D:$D)</f>
        <v>7</v>
      </c>
      <c r="I192" t="str">
        <f>_xlfn.XLOOKUP(Orders4[[#This Row],[Order ID]],Details!A:A,Details!$E:$E)</f>
        <v>Clothing</v>
      </c>
      <c r="J192" t="str">
        <f>_xlfn.XLOOKUP(Orders4[[#This Row],[Order ID]],Details!$A:$A,Details!$F:$F)</f>
        <v>Saree</v>
      </c>
      <c r="K192" t="str">
        <f>_xlfn.XLOOKUP(Orders4[[#This Row],[Order ID]],Details!$A:$A,Details!$G:$G)</f>
        <v>Credit Card</v>
      </c>
      <c r="L192">
        <f>Orders4[[#This Row],[Amount]]/Orders4[[#This Row],[Quantity]]</f>
        <v>80.714285714285708</v>
      </c>
    </row>
    <row r="193" spans="1:12" x14ac:dyDescent="0.25">
      <c r="A193" t="s">
        <v>413</v>
      </c>
      <c r="B193" s="1">
        <v>43367</v>
      </c>
      <c r="C193" t="s">
        <v>663</v>
      </c>
      <c r="D193" t="s">
        <v>543</v>
      </c>
      <c r="E193" t="s">
        <v>544</v>
      </c>
      <c r="F193">
        <f>_xlfn.XLOOKUP(Orders4[[#This Row],[Order ID]],Details!$A:$A, Details!$B:$B)</f>
        <v>74</v>
      </c>
      <c r="G193">
        <f>_xlfn.XLOOKUP(Orders4[[#This Row],[Order ID]],Details!$A:$A,Details!C:C)</f>
        <v>-25</v>
      </c>
      <c r="H193">
        <f>_xlfn.XLOOKUP(Orders4[[#This Row],[Order ID]],Details!$A:$A,Details!$D:$D)</f>
        <v>3</v>
      </c>
      <c r="I193" t="str">
        <f>_xlfn.XLOOKUP(Orders4[[#This Row],[Order ID]],Details!A:A,Details!$E:$E)</f>
        <v>Clothing</v>
      </c>
      <c r="J193" t="str">
        <f>_xlfn.XLOOKUP(Orders4[[#This Row],[Order ID]],Details!$A:$A,Details!$F:$F)</f>
        <v>Stole</v>
      </c>
      <c r="K193" t="str">
        <f>_xlfn.XLOOKUP(Orders4[[#This Row],[Order ID]],Details!$A:$A,Details!$G:$G)</f>
        <v>COD</v>
      </c>
      <c r="L193">
        <f>Orders4[[#This Row],[Amount]]/Orders4[[#This Row],[Quantity]]</f>
        <v>24.666666666666668</v>
      </c>
    </row>
    <row r="194" spans="1:12" x14ac:dyDescent="0.25">
      <c r="A194" t="s">
        <v>307</v>
      </c>
      <c r="B194" s="1">
        <v>43367</v>
      </c>
      <c r="C194" t="s">
        <v>609</v>
      </c>
      <c r="D194" t="s">
        <v>546</v>
      </c>
      <c r="E194" t="s">
        <v>547</v>
      </c>
      <c r="F194">
        <f>_xlfn.XLOOKUP(Orders4[[#This Row],[Order ID]],Details!$A:$A, Details!$B:$B)</f>
        <v>60</v>
      </c>
      <c r="G194">
        <f>_xlfn.XLOOKUP(Orders4[[#This Row],[Order ID]],Details!$A:$A,Details!C:C)</f>
        <v>-12</v>
      </c>
      <c r="H194">
        <f>_xlfn.XLOOKUP(Orders4[[#This Row],[Order ID]],Details!$A:$A,Details!$D:$D)</f>
        <v>4</v>
      </c>
      <c r="I194" t="str">
        <f>_xlfn.XLOOKUP(Orders4[[#This Row],[Order ID]],Details!A:A,Details!$E:$E)</f>
        <v>Clothing</v>
      </c>
      <c r="J194" t="str">
        <f>_xlfn.XLOOKUP(Orders4[[#This Row],[Order ID]],Details!$A:$A,Details!$F:$F)</f>
        <v>Hankerchief</v>
      </c>
      <c r="K194" t="str">
        <f>_xlfn.XLOOKUP(Orders4[[#This Row],[Order ID]],Details!$A:$A,Details!$G:$G)</f>
        <v>Debit Card</v>
      </c>
      <c r="L194">
        <f>Orders4[[#This Row],[Amount]]/Orders4[[#This Row],[Quantity]]</f>
        <v>15</v>
      </c>
    </row>
    <row r="195" spans="1:12" x14ac:dyDescent="0.25">
      <c r="A195" t="s">
        <v>319</v>
      </c>
      <c r="B195" s="1">
        <v>43367</v>
      </c>
      <c r="C195" t="s">
        <v>794</v>
      </c>
      <c r="D195" t="s">
        <v>571</v>
      </c>
      <c r="E195" t="s">
        <v>572</v>
      </c>
      <c r="F195">
        <f>_xlfn.XLOOKUP(Orders4[[#This Row],[Order ID]],Details!$A:$A, Details!$B:$B)</f>
        <v>176</v>
      </c>
      <c r="G195">
        <f>_xlfn.XLOOKUP(Orders4[[#This Row],[Order ID]],Details!$A:$A,Details!C:C)</f>
        <v>37</v>
      </c>
      <c r="H195">
        <f>_xlfn.XLOOKUP(Orders4[[#This Row],[Order ID]],Details!$A:$A,Details!$D:$D)</f>
        <v>6</v>
      </c>
      <c r="I195" t="str">
        <f>_xlfn.XLOOKUP(Orders4[[#This Row],[Order ID]],Details!A:A,Details!$E:$E)</f>
        <v>Electronics</v>
      </c>
      <c r="J195" t="str">
        <f>_xlfn.XLOOKUP(Orders4[[#This Row],[Order ID]],Details!$A:$A,Details!$F:$F)</f>
        <v>Accessories</v>
      </c>
      <c r="K195" t="str">
        <f>_xlfn.XLOOKUP(Orders4[[#This Row],[Order ID]],Details!$A:$A,Details!$G:$G)</f>
        <v>COD</v>
      </c>
      <c r="L195">
        <f>Orders4[[#This Row],[Amount]]/Orders4[[#This Row],[Quantity]]</f>
        <v>29.333333333333332</v>
      </c>
    </row>
    <row r="196" spans="1:12" x14ac:dyDescent="0.25">
      <c r="A196" t="s">
        <v>305</v>
      </c>
      <c r="B196" s="1">
        <v>43367</v>
      </c>
      <c r="C196" t="s">
        <v>782</v>
      </c>
      <c r="D196" t="s">
        <v>697</v>
      </c>
      <c r="E196" t="s">
        <v>698</v>
      </c>
      <c r="F196">
        <f>_xlfn.XLOOKUP(Orders4[[#This Row],[Order ID]],Details!$A:$A, Details!$B:$B)</f>
        <v>276</v>
      </c>
      <c r="G196">
        <f>_xlfn.XLOOKUP(Orders4[[#This Row],[Order ID]],Details!$A:$A,Details!C:C)</f>
        <v>-21</v>
      </c>
      <c r="H196">
        <f>_xlfn.XLOOKUP(Orders4[[#This Row],[Order ID]],Details!$A:$A,Details!$D:$D)</f>
        <v>2</v>
      </c>
      <c r="I196" t="str">
        <f>_xlfn.XLOOKUP(Orders4[[#This Row],[Order ID]],Details!A:A,Details!$E:$E)</f>
        <v>Electronics</v>
      </c>
      <c r="J196" t="str">
        <f>_xlfn.XLOOKUP(Orders4[[#This Row],[Order ID]],Details!$A:$A,Details!$F:$F)</f>
        <v>Phones</v>
      </c>
      <c r="K196" t="str">
        <f>_xlfn.XLOOKUP(Orders4[[#This Row],[Order ID]],Details!$A:$A,Details!$G:$G)</f>
        <v>EMI</v>
      </c>
      <c r="L196">
        <f>Orders4[[#This Row],[Amount]]/Orders4[[#This Row],[Quantity]]</f>
        <v>138</v>
      </c>
    </row>
    <row r="197" spans="1:12" x14ac:dyDescent="0.25">
      <c r="A197" t="s">
        <v>163</v>
      </c>
      <c r="B197" s="1">
        <v>43367</v>
      </c>
      <c r="C197" t="s">
        <v>712</v>
      </c>
      <c r="D197" t="s">
        <v>543</v>
      </c>
      <c r="E197" t="s">
        <v>544</v>
      </c>
      <c r="F197">
        <f>_xlfn.XLOOKUP(Orders4[[#This Row],[Order ID]],Details!$A:$A, Details!$B:$B)</f>
        <v>632</v>
      </c>
      <c r="G197">
        <f>_xlfn.XLOOKUP(Orders4[[#This Row],[Order ID]],Details!$A:$A,Details!C:C)</f>
        <v>-316</v>
      </c>
      <c r="H197">
        <f>_xlfn.XLOOKUP(Orders4[[#This Row],[Order ID]],Details!$A:$A,Details!$D:$D)</f>
        <v>6</v>
      </c>
      <c r="I197" t="str">
        <f>_xlfn.XLOOKUP(Orders4[[#This Row],[Order ID]],Details!A:A,Details!$E:$E)</f>
        <v>Clothing</v>
      </c>
      <c r="J197" t="str">
        <f>_xlfn.XLOOKUP(Orders4[[#This Row],[Order ID]],Details!$A:$A,Details!$F:$F)</f>
        <v>Saree</v>
      </c>
      <c r="K197" t="str">
        <f>_xlfn.XLOOKUP(Orders4[[#This Row],[Order ID]],Details!$A:$A,Details!$G:$G)</f>
        <v>COD</v>
      </c>
      <c r="L197">
        <f>Orders4[[#This Row],[Amount]]/Orders4[[#This Row],[Quantity]]</f>
        <v>105.33333333333333</v>
      </c>
    </row>
    <row r="198" spans="1:12" x14ac:dyDescent="0.25">
      <c r="A198" t="s">
        <v>64</v>
      </c>
      <c r="B198" s="1">
        <v>43373</v>
      </c>
      <c r="C198" t="s">
        <v>586</v>
      </c>
      <c r="D198" t="s">
        <v>546</v>
      </c>
      <c r="E198" t="s">
        <v>547</v>
      </c>
      <c r="F198">
        <f>_xlfn.XLOOKUP(Orders4[[#This Row],[Order ID]],Details!$A:$A, Details!$B:$B)</f>
        <v>1630</v>
      </c>
      <c r="G198">
        <f>_xlfn.XLOOKUP(Orders4[[#This Row],[Order ID]],Details!$A:$A,Details!C:C)</f>
        <v>802</v>
      </c>
      <c r="H198">
        <f>_xlfn.XLOOKUP(Orders4[[#This Row],[Order ID]],Details!$A:$A,Details!$D:$D)</f>
        <v>5</v>
      </c>
      <c r="I198" t="str">
        <f>_xlfn.XLOOKUP(Orders4[[#This Row],[Order ID]],Details!A:A,Details!$E:$E)</f>
        <v>Furniture</v>
      </c>
      <c r="J198" t="str">
        <f>_xlfn.XLOOKUP(Orders4[[#This Row],[Order ID]],Details!$A:$A,Details!$F:$F)</f>
        <v>Tables</v>
      </c>
      <c r="K198" t="str">
        <f>_xlfn.XLOOKUP(Orders4[[#This Row],[Order ID]],Details!$A:$A,Details!$G:$G)</f>
        <v>EMI</v>
      </c>
      <c r="L198">
        <f>Orders4[[#This Row],[Amount]]/Orders4[[#This Row],[Quantity]]</f>
        <v>326</v>
      </c>
    </row>
    <row r="199" spans="1:12" x14ac:dyDescent="0.25">
      <c r="A199" t="s">
        <v>208</v>
      </c>
      <c r="B199" s="1">
        <v>43374</v>
      </c>
      <c r="C199" t="s">
        <v>553</v>
      </c>
      <c r="D199" t="s">
        <v>554</v>
      </c>
      <c r="E199" t="s">
        <v>555</v>
      </c>
      <c r="F199">
        <f>_xlfn.XLOOKUP(Orders4[[#This Row],[Order ID]],Details!$A:$A, Details!$B:$B)</f>
        <v>448</v>
      </c>
      <c r="G199">
        <f>_xlfn.XLOOKUP(Orders4[[#This Row],[Order ID]],Details!$A:$A,Details!C:C)</f>
        <v>148</v>
      </c>
      <c r="H199">
        <f>_xlfn.XLOOKUP(Orders4[[#This Row],[Order ID]],Details!$A:$A,Details!$D:$D)</f>
        <v>2</v>
      </c>
      <c r="I199" t="str">
        <f>_xlfn.XLOOKUP(Orders4[[#This Row],[Order ID]],Details!A:A,Details!$E:$E)</f>
        <v>Electronics</v>
      </c>
      <c r="J199" t="str">
        <f>_xlfn.XLOOKUP(Orders4[[#This Row],[Order ID]],Details!$A:$A,Details!$F:$F)</f>
        <v>Printers</v>
      </c>
      <c r="K199" t="str">
        <f>_xlfn.XLOOKUP(Orders4[[#This Row],[Order ID]],Details!$A:$A,Details!$G:$G)</f>
        <v>COD</v>
      </c>
      <c r="L199">
        <f>Orders4[[#This Row],[Amount]]/Orders4[[#This Row],[Quantity]]</f>
        <v>224</v>
      </c>
    </row>
    <row r="200" spans="1:12" x14ac:dyDescent="0.25">
      <c r="A200" t="s">
        <v>272</v>
      </c>
      <c r="B200" s="1">
        <v>43374</v>
      </c>
      <c r="C200" t="s">
        <v>799</v>
      </c>
      <c r="D200" t="s">
        <v>559</v>
      </c>
      <c r="E200" t="s">
        <v>566</v>
      </c>
      <c r="F200">
        <f>_xlfn.XLOOKUP(Orders4[[#This Row],[Order ID]],Details!$A:$A, Details!$B:$B)</f>
        <v>45</v>
      </c>
      <c r="G200">
        <f>_xlfn.XLOOKUP(Orders4[[#This Row],[Order ID]],Details!$A:$A,Details!C:C)</f>
        <v>-15</v>
      </c>
      <c r="H200">
        <f>_xlfn.XLOOKUP(Orders4[[#This Row],[Order ID]],Details!$A:$A,Details!$D:$D)</f>
        <v>2</v>
      </c>
      <c r="I200" t="str">
        <f>_xlfn.XLOOKUP(Orders4[[#This Row],[Order ID]],Details!A:A,Details!$E:$E)</f>
        <v>Furniture</v>
      </c>
      <c r="J200" t="str">
        <f>_xlfn.XLOOKUP(Orders4[[#This Row],[Order ID]],Details!$A:$A,Details!$F:$F)</f>
        <v>Chairs</v>
      </c>
      <c r="K200" t="str">
        <f>_xlfn.XLOOKUP(Orders4[[#This Row],[Order ID]],Details!$A:$A,Details!$G:$G)</f>
        <v>COD</v>
      </c>
      <c r="L200">
        <f>Orders4[[#This Row],[Amount]]/Orders4[[#This Row],[Quantity]]</f>
        <v>22.5</v>
      </c>
    </row>
    <row r="201" spans="1:12" x14ac:dyDescent="0.25">
      <c r="A201" t="s">
        <v>337</v>
      </c>
      <c r="B201" s="1">
        <v>43374</v>
      </c>
      <c r="C201" t="s">
        <v>842</v>
      </c>
      <c r="D201" t="s">
        <v>543</v>
      </c>
      <c r="E201" t="s">
        <v>551</v>
      </c>
      <c r="F201">
        <f>_xlfn.XLOOKUP(Orders4[[#This Row],[Order ID]],Details!$A:$A, Details!$B:$B)</f>
        <v>45</v>
      </c>
      <c r="G201">
        <f>_xlfn.XLOOKUP(Orders4[[#This Row],[Order ID]],Details!$A:$A,Details!C:C)</f>
        <v>12</v>
      </c>
      <c r="H201">
        <f>_xlfn.XLOOKUP(Orders4[[#This Row],[Order ID]],Details!$A:$A,Details!$D:$D)</f>
        <v>7</v>
      </c>
      <c r="I201" t="str">
        <f>_xlfn.XLOOKUP(Orders4[[#This Row],[Order ID]],Details!A:A,Details!$E:$E)</f>
        <v>Clothing</v>
      </c>
      <c r="J201" t="str">
        <f>_xlfn.XLOOKUP(Orders4[[#This Row],[Order ID]],Details!$A:$A,Details!$F:$F)</f>
        <v>Hankerchief</v>
      </c>
      <c r="K201" t="str">
        <f>_xlfn.XLOOKUP(Orders4[[#This Row],[Order ID]],Details!$A:$A,Details!$G:$G)</f>
        <v>UPI</v>
      </c>
      <c r="L201">
        <f>Orders4[[#This Row],[Amount]]/Orders4[[#This Row],[Quantity]]</f>
        <v>6.4285714285714288</v>
      </c>
    </row>
    <row r="202" spans="1:12" x14ac:dyDescent="0.25">
      <c r="A202" t="s">
        <v>80</v>
      </c>
      <c r="B202" s="1">
        <v>43374</v>
      </c>
      <c r="C202" t="s">
        <v>877</v>
      </c>
      <c r="D202" t="s">
        <v>546</v>
      </c>
      <c r="E202" t="s">
        <v>578</v>
      </c>
      <c r="F202">
        <f>_xlfn.XLOOKUP(Orders4[[#This Row],[Order ID]],Details!$A:$A, Details!$B:$B)</f>
        <v>15</v>
      </c>
      <c r="G202">
        <f>_xlfn.XLOOKUP(Orders4[[#This Row],[Order ID]],Details!$A:$A,Details!C:C)</f>
        <v>-2</v>
      </c>
      <c r="H202">
        <f>_xlfn.XLOOKUP(Orders4[[#This Row],[Order ID]],Details!$A:$A,Details!$D:$D)</f>
        <v>1</v>
      </c>
      <c r="I202" t="str">
        <f>_xlfn.XLOOKUP(Orders4[[#This Row],[Order ID]],Details!A:A,Details!$E:$E)</f>
        <v>Clothing</v>
      </c>
      <c r="J202" t="str">
        <f>_xlfn.XLOOKUP(Orders4[[#This Row],[Order ID]],Details!$A:$A,Details!$F:$F)</f>
        <v>T-shirt</v>
      </c>
      <c r="K202" t="str">
        <f>_xlfn.XLOOKUP(Orders4[[#This Row],[Order ID]],Details!$A:$A,Details!$G:$G)</f>
        <v>Debit Card</v>
      </c>
      <c r="L202">
        <f>Orders4[[#This Row],[Amount]]/Orders4[[#This Row],[Quantity]]</f>
        <v>15</v>
      </c>
    </row>
    <row r="203" spans="1:12" x14ac:dyDescent="0.25">
      <c r="A203" t="s">
        <v>371</v>
      </c>
      <c r="B203" s="1">
        <v>43378</v>
      </c>
      <c r="C203" t="s">
        <v>710</v>
      </c>
      <c r="D203" t="s">
        <v>543</v>
      </c>
      <c r="E203" t="s">
        <v>544</v>
      </c>
      <c r="F203">
        <f>_xlfn.XLOOKUP(Orders4[[#This Row],[Order ID]],Details!$A:$A, Details!$B:$B)</f>
        <v>25</v>
      </c>
      <c r="G203">
        <f>_xlfn.XLOOKUP(Orders4[[#This Row],[Order ID]],Details!$A:$A,Details!C:C)</f>
        <v>-7</v>
      </c>
      <c r="H203">
        <f>_xlfn.XLOOKUP(Orders4[[#This Row],[Order ID]],Details!$A:$A,Details!$D:$D)</f>
        <v>5</v>
      </c>
      <c r="I203" t="str">
        <f>_xlfn.XLOOKUP(Orders4[[#This Row],[Order ID]],Details!A:A,Details!$E:$E)</f>
        <v>Clothing</v>
      </c>
      <c r="J203" t="str">
        <f>_xlfn.XLOOKUP(Orders4[[#This Row],[Order ID]],Details!$A:$A,Details!$F:$F)</f>
        <v>Saree</v>
      </c>
      <c r="K203" t="str">
        <f>_xlfn.XLOOKUP(Orders4[[#This Row],[Order ID]],Details!$A:$A,Details!$G:$G)</f>
        <v>UPI</v>
      </c>
      <c r="L203">
        <f>Orders4[[#This Row],[Amount]]/Orders4[[#This Row],[Quantity]]</f>
        <v>5</v>
      </c>
    </row>
    <row r="204" spans="1:12" x14ac:dyDescent="0.25">
      <c r="A204" t="s">
        <v>172</v>
      </c>
      <c r="B204" s="1">
        <v>43378</v>
      </c>
      <c r="C204" t="s">
        <v>685</v>
      </c>
      <c r="D204" t="s">
        <v>546</v>
      </c>
      <c r="E204" t="s">
        <v>547</v>
      </c>
      <c r="F204">
        <f>_xlfn.XLOOKUP(Orders4[[#This Row],[Order ID]],Details!$A:$A, Details!$B:$B)</f>
        <v>765</v>
      </c>
      <c r="G204">
        <f>_xlfn.XLOOKUP(Orders4[[#This Row],[Order ID]],Details!$A:$A,Details!C:C)</f>
        <v>8</v>
      </c>
      <c r="H204">
        <f>_xlfn.XLOOKUP(Orders4[[#This Row],[Order ID]],Details!$A:$A,Details!$D:$D)</f>
        <v>6</v>
      </c>
      <c r="I204" t="str">
        <f>_xlfn.XLOOKUP(Orders4[[#This Row],[Order ID]],Details!A:A,Details!$E:$E)</f>
        <v>Clothing</v>
      </c>
      <c r="J204" t="str">
        <f>_xlfn.XLOOKUP(Orders4[[#This Row],[Order ID]],Details!$A:$A,Details!$F:$F)</f>
        <v>Saree</v>
      </c>
      <c r="K204" t="str">
        <f>_xlfn.XLOOKUP(Orders4[[#This Row],[Order ID]],Details!$A:$A,Details!$G:$G)</f>
        <v>EMI</v>
      </c>
      <c r="L204">
        <f>Orders4[[#This Row],[Amount]]/Orders4[[#This Row],[Quantity]]</f>
        <v>127.5</v>
      </c>
    </row>
    <row r="205" spans="1:12" x14ac:dyDescent="0.25">
      <c r="A205" t="s">
        <v>379</v>
      </c>
      <c r="B205" s="1">
        <v>43378</v>
      </c>
      <c r="C205" t="s">
        <v>772</v>
      </c>
      <c r="D205" t="s">
        <v>598</v>
      </c>
      <c r="E205" t="s">
        <v>599</v>
      </c>
      <c r="F205">
        <f>_xlfn.XLOOKUP(Orders4[[#This Row],[Order ID]],Details!$A:$A, Details!$B:$B)</f>
        <v>156</v>
      </c>
      <c r="G205">
        <f>_xlfn.XLOOKUP(Orders4[[#This Row],[Order ID]],Details!$A:$A,Details!C:C)</f>
        <v>36</v>
      </c>
      <c r="H205">
        <f>_xlfn.XLOOKUP(Orders4[[#This Row],[Order ID]],Details!$A:$A,Details!$D:$D)</f>
        <v>5</v>
      </c>
      <c r="I205" t="str">
        <f>_xlfn.XLOOKUP(Orders4[[#This Row],[Order ID]],Details!A:A,Details!$E:$E)</f>
        <v>Clothing</v>
      </c>
      <c r="J205" t="str">
        <f>_xlfn.XLOOKUP(Orders4[[#This Row],[Order ID]],Details!$A:$A,Details!$F:$F)</f>
        <v>T-shirt</v>
      </c>
      <c r="K205" t="str">
        <f>_xlfn.XLOOKUP(Orders4[[#This Row],[Order ID]],Details!$A:$A,Details!$G:$G)</f>
        <v>EMI</v>
      </c>
      <c r="L205">
        <f>Orders4[[#This Row],[Amount]]/Orders4[[#This Row],[Quantity]]</f>
        <v>31.2</v>
      </c>
    </row>
    <row r="206" spans="1:12" x14ac:dyDescent="0.25">
      <c r="A206" t="s">
        <v>384</v>
      </c>
      <c r="B206" s="1">
        <v>43378</v>
      </c>
      <c r="C206" t="s">
        <v>649</v>
      </c>
      <c r="D206" t="s">
        <v>543</v>
      </c>
      <c r="E206" t="s">
        <v>544</v>
      </c>
      <c r="F206">
        <f>_xlfn.XLOOKUP(Orders4[[#This Row],[Order ID]],Details!$A:$A, Details!$B:$B)</f>
        <v>112</v>
      </c>
      <c r="G206">
        <f>_xlfn.XLOOKUP(Orders4[[#This Row],[Order ID]],Details!$A:$A,Details!C:C)</f>
        <v>15</v>
      </c>
      <c r="H206">
        <f>_xlfn.XLOOKUP(Orders4[[#This Row],[Order ID]],Details!$A:$A,Details!$D:$D)</f>
        <v>2</v>
      </c>
      <c r="I206" t="str">
        <f>_xlfn.XLOOKUP(Orders4[[#This Row],[Order ID]],Details!A:A,Details!$E:$E)</f>
        <v>Furniture</v>
      </c>
      <c r="J206" t="str">
        <f>_xlfn.XLOOKUP(Orders4[[#This Row],[Order ID]],Details!$A:$A,Details!$F:$F)</f>
        <v>Chairs</v>
      </c>
      <c r="K206" t="str">
        <f>_xlfn.XLOOKUP(Orders4[[#This Row],[Order ID]],Details!$A:$A,Details!$G:$G)</f>
        <v>COD</v>
      </c>
      <c r="L206">
        <f>Orders4[[#This Row],[Amount]]/Orders4[[#This Row],[Quantity]]</f>
        <v>56</v>
      </c>
    </row>
    <row r="207" spans="1:12" x14ac:dyDescent="0.25">
      <c r="A207" t="s">
        <v>507</v>
      </c>
      <c r="B207" s="1">
        <v>43379</v>
      </c>
      <c r="C207" t="s">
        <v>713</v>
      </c>
      <c r="D207" t="s">
        <v>546</v>
      </c>
      <c r="E207" t="s">
        <v>547</v>
      </c>
      <c r="F207">
        <f>_xlfn.XLOOKUP(Orders4[[#This Row],[Order ID]],Details!$A:$A, Details!$B:$B)</f>
        <v>632</v>
      </c>
      <c r="G207">
        <f>_xlfn.XLOOKUP(Orders4[[#This Row],[Order ID]],Details!$A:$A,Details!C:C)</f>
        <v>-114</v>
      </c>
      <c r="H207">
        <f>_xlfn.XLOOKUP(Orders4[[#This Row],[Order ID]],Details!$A:$A,Details!$D:$D)</f>
        <v>4</v>
      </c>
      <c r="I207" t="str">
        <f>_xlfn.XLOOKUP(Orders4[[#This Row],[Order ID]],Details!A:A,Details!$E:$E)</f>
        <v>Furniture</v>
      </c>
      <c r="J207" t="str">
        <f>_xlfn.XLOOKUP(Orders4[[#This Row],[Order ID]],Details!$A:$A,Details!$F:$F)</f>
        <v>Tables</v>
      </c>
      <c r="K207" t="str">
        <f>_xlfn.XLOOKUP(Orders4[[#This Row],[Order ID]],Details!$A:$A,Details!$G:$G)</f>
        <v>UPI</v>
      </c>
      <c r="L207">
        <f>Orders4[[#This Row],[Amount]]/Orders4[[#This Row],[Quantity]]</f>
        <v>158</v>
      </c>
    </row>
    <row r="208" spans="1:12" x14ac:dyDescent="0.25">
      <c r="A208" t="s">
        <v>523</v>
      </c>
      <c r="B208" s="1">
        <v>43380</v>
      </c>
      <c r="C208" t="s">
        <v>852</v>
      </c>
      <c r="D208" t="s">
        <v>537</v>
      </c>
      <c r="E208" t="s">
        <v>607</v>
      </c>
      <c r="F208">
        <f>_xlfn.XLOOKUP(Orders4[[#This Row],[Order ID]],Details!$A:$A, Details!$B:$B)</f>
        <v>16</v>
      </c>
      <c r="G208">
        <f>_xlfn.XLOOKUP(Orders4[[#This Row],[Order ID]],Details!$A:$A,Details!C:C)</f>
        <v>6</v>
      </c>
      <c r="H208">
        <f>_xlfn.XLOOKUP(Orders4[[#This Row],[Order ID]],Details!$A:$A,Details!$D:$D)</f>
        <v>1</v>
      </c>
      <c r="I208" t="str">
        <f>_xlfn.XLOOKUP(Orders4[[#This Row],[Order ID]],Details!A:A,Details!$E:$E)</f>
        <v>Clothing</v>
      </c>
      <c r="J208" t="str">
        <f>_xlfn.XLOOKUP(Orders4[[#This Row],[Order ID]],Details!$A:$A,Details!$F:$F)</f>
        <v>Stole</v>
      </c>
      <c r="K208" t="str">
        <f>_xlfn.XLOOKUP(Orders4[[#This Row],[Order ID]],Details!$A:$A,Details!$G:$G)</f>
        <v>COD</v>
      </c>
      <c r="L208">
        <f>Orders4[[#This Row],[Amount]]/Orders4[[#This Row],[Quantity]]</f>
        <v>16</v>
      </c>
    </row>
    <row r="209" spans="1:12" x14ac:dyDescent="0.25">
      <c r="A209" t="s">
        <v>145</v>
      </c>
      <c r="B209" s="1">
        <v>43381</v>
      </c>
      <c r="C209" t="s">
        <v>795</v>
      </c>
      <c r="D209" t="s">
        <v>568</v>
      </c>
      <c r="E209" t="s">
        <v>569</v>
      </c>
      <c r="F209">
        <f>_xlfn.XLOOKUP(Orders4[[#This Row],[Order ID]],Details!$A:$A, Details!$B:$B)</f>
        <v>63</v>
      </c>
      <c r="G209">
        <f>_xlfn.XLOOKUP(Orders4[[#This Row],[Order ID]],Details!$A:$A,Details!C:C)</f>
        <v>-17</v>
      </c>
      <c r="H209">
        <f>_xlfn.XLOOKUP(Orders4[[#This Row],[Order ID]],Details!$A:$A,Details!$D:$D)</f>
        <v>6</v>
      </c>
      <c r="I209" t="str">
        <f>_xlfn.XLOOKUP(Orders4[[#This Row],[Order ID]],Details!A:A,Details!$E:$E)</f>
        <v>Clothing</v>
      </c>
      <c r="J209" t="str">
        <f>_xlfn.XLOOKUP(Orders4[[#This Row],[Order ID]],Details!$A:$A,Details!$F:$F)</f>
        <v>Leggings</v>
      </c>
      <c r="K209" t="str">
        <f>_xlfn.XLOOKUP(Orders4[[#This Row],[Order ID]],Details!$A:$A,Details!$G:$G)</f>
        <v>COD</v>
      </c>
      <c r="L209">
        <f>Orders4[[#This Row],[Amount]]/Orders4[[#This Row],[Quantity]]</f>
        <v>10.5</v>
      </c>
    </row>
    <row r="210" spans="1:12" x14ac:dyDescent="0.25">
      <c r="A210" t="s">
        <v>286</v>
      </c>
      <c r="B210" s="1">
        <v>43382</v>
      </c>
      <c r="C210" t="s">
        <v>821</v>
      </c>
      <c r="D210" t="s">
        <v>580</v>
      </c>
      <c r="E210" t="s">
        <v>581</v>
      </c>
      <c r="F210">
        <f>_xlfn.XLOOKUP(Orders4[[#This Row],[Order ID]],Details!$A:$A, Details!$B:$B)</f>
        <v>53</v>
      </c>
      <c r="G210">
        <f>_xlfn.XLOOKUP(Orders4[[#This Row],[Order ID]],Details!$A:$A,Details!C:C)</f>
        <v>24</v>
      </c>
      <c r="H210">
        <f>_xlfn.XLOOKUP(Orders4[[#This Row],[Order ID]],Details!$A:$A,Details!$D:$D)</f>
        <v>1</v>
      </c>
      <c r="I210" t="str">
        <f>_xlfn.XLOOKUP(Orders4[[#This Row],[Order ID]],Details!A:A,Details!$E:$E)</f>
        <v>Clothing</v>
      </c>
      <c r="J210" t="str">
        <f>_xlfn.XLOOKUP(Orders4[[#This Row],[Order ID]],Details!$A:$A,Details!$F:$F)</f>
        <v>Hankerchief</v>
      </c>
      <c r="K210" t="str">
        <f>_xlfn.XLOOKUP(Orders4[[#This Row],[Order ID]],Details!$A:$A,Details!$G:$G)</f>
        <v>Debit Card</v>
      </c>
      <c r="L210">
        <f>Orders4[[#This Row],[Amount]]/Orders4[[#This Row],[Quantity]]</f>
        <v>53</v>
      </c>
    </row>
    <row r="211" spans="1:12" x14ac:dyDescent="0.25">
      <c r="A211" t="s">
        <v>79</v>
      </c>
      <c r="B211" s="1">
        <v>43383</v>
      </c>
      <c r="C211" t="s">
        <v>645</v>
      </c>
      <c r="D211" t="s">
        <v>575</v>
      </c>
      <c r="E211" t="s">
        <v>576</v>
      </c>
      <c r="F211">
        <f>_xlfn.XLOOKUP(Orders4[[#This Row],[Order ID]],Details!$A:$A, Details!$B:$B)</f>
        <v>1120</v>
      </c>
      <c r="G211">
        <f>_xlfn.XLOOKUP(Orders4[[#This Row],[Order ID]],Details!$A:$A,Details!C:C)</f>
        <v>199</v>
      </c>
      <c r="H211">
        <f>_xlfn.XLOOKUP(Orders4[[#This Row],[Order ID]],Details!$A:$A,Details!$D:$D)</f>
        <v>6</v>
      </c>
      <c r="I211" t="str">
        <f>_xlfn.XLOOKUP(Orders4[[#This Row],[Order ID]],Details!A:A,Details!$E:$E)</f>
        <v>Clothing</v>
      </c>
      <c r="J211" t="str">
        <f>_xlfn.XLOOKUP(Orders4[[#This Row],[Order ID]],Details!$A:$A,Details!$F:$F)</f>
        <v>Saree</v>
      </c>
      <c r="K211" t="str">
        <f>_xlfn.XLOOKUP(Orders4[[#This Row],[Order ID]],Details!$A:$A,Details!$G:$G)</f>
        <v>EMI</v>
      </c>
      <c r="L211">
        <f>Orders4[[#This Row],[Amount]]/Orders4[[#This Row],[Quantity]]</f>
        <v>186.66666666666666</v>
      </c>
    </row>
    <row r="212" spans="1:12" x14ac:dyDescent="0.25">
      <c r="A212" t="s">
        <v>471</v>
      </c>
      <c r="B212" s="1">
        <v>43383</v>
      </c>
      <c r="C212" t="s">
        <v>841</v>
      </c>
      <c r="D212" t="s">
        <v>543</v>
      </c>
      <c r="E212" t="s">
        <v>544</v>
      </c>
      <c r="F212">
        <f>_xlfn.XLOOKUP(Orders4[[#This Row],[Order ID]],Details!$A:$A, Details!$B:$B)</f>
        <v>126</v>
      </c>
      <c r="G212">
        <f>_xlfn.XLOOKUP(Orders4[[#This Row],[Order ID]],Details!$A:$A,Details!C:C)</f>
        <v>52</v>
      </c>
      <c r="H212">
        <f>_xlfn.XLOOKUP(Orders4[[#This Row],[Order ID]],Details!$A:$A,Details!$D:$D)</f>
        <v>4</v>
      </c>
      <c r="I212" t="str">
        <f>_xlfn.XLOOKUP(Orders4[[#This Row],[Order ID]],Details!A:A,Details!$E:$E)</f>
        <v>Clothing</v>
      </c>
      <c r="J212" t="str">
        <f>_xlfn.XLOOKUP(Orders4[[#This Row],[Order ID]],Details!$A:$A,Details!$F:$F)</f>
        <v>Hankerchief</v>
      </c>
      <c r="K212" t="str">
        <f>_xlfn.XLOOKUP(Orders4[[#This Row],[Order ID]],Details!$A:$A,Details!$G:$G)</f>
        <v>UPI</v>
      </c>
      <c r="L212">
        <f>Orders4[[#This Row],[Amount]]/Orders4[[#This Row],[Quantity]]</f>
        <v>31.5</v>
      </c>
    </row>
    <row r="213" spans="1:12" x14ac:dyDescent="0.25">
      <c r="A213" t="s">
        <v>467</v>
      </c>
      <c r="B213" s="1">
        <v>43383</v>
      </c>
      <c r="C213" t="s">
        <v>785</v>
      </c>
      <c r="D213" t="s">
        <v>546</v>
      </c>
      <c r="E213" t="s">
        <v>547</v>
      </c>
      <c r="F213">
        <f>_xlfn.XLOOKUP(Orders4[[#This Row],[Order ID]],Details!$A:$A, Details!$B:$B)</f>
        <v>259</v>
      </c>
      <c r="G213">
        <f>_xlfn.XLOOKUP(Orders4[[#This Row],[Order ID]],Details!$A:$A,Details!C:C)</f>
        <v>47</v>
      </c>
      <c r="H213">
        <f>_xlfn.XLOOKUP(Orders4[[#This Row],[Order ID]],Details!$A:$A,Details!$D:$D)</f>
        <v>5</v>
      </c>
      <c r="I213" t="str">
        <f>_xlfn.XLOOKUP(Orders4[[#This Row],[Order ID]],Details!A:A,Details!$E:$E)</f>
        <v>Clothing</v>
      </c>
      <c r="J213" t="str">
        <f>_xlfn.XLOOKUP(Orders4[[#This Row],[Order ID]],Details!$A:$A,Details!$F:$F)</f>
        <v>Hankerchief</v>
      </c>
      <c r="K213" t="str">
        <f>_xlfn.XLOOKUP(Orders4[[#This Row],[Order ID]],Details!$A:$A,Details!$G:$G)</f>
        <v>UPI</v>
      </c>
      <c r="L213">
        <f>Orders4[[#This Row],[Amount]]/Orders4[[#This Row],[Quantity]]</f>
        <v>51.8</v>
      </c>
    </row>
    <row r="214" spans="1:12" x14ac:dyDescent="0.25">
      <c r="A214" t="s">
        <v>521</v>
      </c>
      <c r="B214" s="1">
        <v>43383</v>
      </c>
      <c r="C214" t="s">
        <v>664</v>
      </c>
      <c r="D214" t="s">
        <v>543</v>
      </c>
      <c r="E214" t="s">
        <v>544</v>
      </c>
      <c r="F214">
        <f>_xlfn.XLOOKUP(Orders4[[#This Row],[Order ID]],Details!$A:$A, Details!$B:$B)</f>
        <v>911</v>
      </c>
      <c r="G214">
        <f>_xlfn.XLOOKUP(Orders4[[#This Row],[Order ID]],Details!$A:$A,Details!C:C)</f>
        <v>202</v>
      </c>
      <c r="H214">
        <f>_xlfn.XLOOKUP(Orders4[[#This Row],[Order ID]],Details!$A:$A,Details!$D:$D)</f>
        <v>7</v>
      </c>
      <c r="I214" t="str">
        <f>_xlfn.XLOOKUP(Orders4[[#This Row],[Order ID]],Details!A:A,Details!$E:$E)</f>
        <v>Furniture</v>
      </c>
      <c r="J214" t="str">
        <f>_xlfn.XLOOKUP(Orders4[[#This Row],[Order ID]],Details!$A:$A,Details!$F:$F)</f>
        <v>Chairs</v>
      </c>
      <c r="K214" t="str">
        <f>_xlfn.XLOOKUP(Orders4[[#This Row],[Order ID]],Details!$A:$A,Details!$G:$G)</f>
        <v>COD</v>
      </c>
      <c r="L214">
        <f>Orders4[[#This Row],[Amount]]/Orders4[[#This Row],[Quantity]]</f>
        <v>130.14285714285714</v>
      </c>
    </row>
    <row r="215" spans="1:12" x14ac:dyDescent="0.25">
      <c r="A215" t="s">
        <v>392</v>
      </c>
      <c r="B215" s="1">
        <v>43383</v>
      </c>
      <c r="C215" t="s">
        <v>669</v>
      </c>
      <c r="D215" t="s">
        <v>546</v>
      </c>
      <c r="E215" t="s">
        <v>547</v>
      </c>
      <c r="F215">
        <f>_xlfn.XLOOKUP(Orders4[[#This Row],[Order ID]],Details!$A:$A, Details!$B:$B)</f>
        <v>118</v>
      </c>
      <c r="G215">
        <f>_xlfn.XLOOKUP(Orders4[[#This Row],[Order ID]],Details!$A:$A,Details!C:C)</f>
        <v>35</v>
      </c>
      <c r="H215">
        <f>_xlfn.XLOOKUP(Orders4[[#This Row],[Order ID]],Details!$A:$A,Details!$D:$D)</f>
        <v>7</v>
      </c>
      <c r="I215" t="str">
        <f>_xlfn.XLOOKUP(Orders4[[#This Row],[Order ID]],Details!A:A,Details!$E:$E)</f>
        <v>Clothing</v>
      </c>
      <c r="J215" t="str">
        <f>_xlfn.XLOOKUP(Orders4[[#This Row],[Order ID]],Details!$A:$A,Details!$F:$F)</f>
        <v>T-shirt</v>
      </c>
      <c r="K215" t="str">
        <f>_xlfn.XLOOKUP(Orders4[[#This Row],[Order ID]],Details!$A:$A,Details!$G:$G)</f>
        <v>EMI</v>
      </c>
      <c r="L215">
        <f>Orders4[[#This Row],[Amount]]/Orders4[[#This Row],[Quantity]]</f>
        <v>16.857142857142858</v>
      </c>
    </row>
    <row r="216" spans="1:12" x14ac:dyDescent="0.25">
      <c r="A216" t="s">
        <v>501</v>
      </c>
      <c r="B216" s="1">
        <v>43383</v>
      </c>
      <c r="C216" t="s">
        <v>668</v>
      </c>
      <c r="D216" t="s">
        <v>584</v>
      </c>
      <c r="E216" t="s">
        <v>585</v>
      </c>
      <c r="F216">
        <f>_xlfn.XLOOKUP(Orders4[[#This Row],[Order ID]],Details!$A:$A, Details!$B:$B)</f>
        <v>35</v>
      </c>
      <c r="G216">
        <f>_xlfn.XLOOKUP(Orders4[[#This Row],[Order ID]],Details!$A:$A,Details!C:C)</f>
        <v>14</v>
      </c>
      <c r="H216">
        <f>_xlfn.XLOOKUP(Orders4[[#This Row],[Order ID]],Details!$A:$A,Details!$D:$D)</f>
        <v>2</v>
      </c>
      <c r="I216" t="str">
        <f>_xlfn.XLOOKUP(Orders4[[#This Row],[Order ID]],Details!A:A,Details!$E:$E)</f>
        <v>Clothing</v>
      </c>
      <c r="J216" t="str">
        <f>_xlfn.XLOOKUP(Orders4[[#This Row],[Order ID]],Details!$A:$A,Details!$F:$F)</f>
        <v>Stole</v>
      </c>
      <c r="K216" t="str">
        <f>_xlfn.XLOOKUP(Orders4[[#This Row],[Order ID]],Details!$A:$A,Details!$G:$G)</f>
        <v>Credit Card</v>
      </c>
      <c r="L216">
        <f>Orders4[[#This Row],[Amount]]/Orders4[[#This Row],[Quantity]]</f>
        <v>17.5</v>
      </c>
    </row>
    <row r="217" spans="1:12" x14ac:dyDescent="0.25">
      <c r="A217" t="s">
        <v>56</v>
      </c>
      <c r="B217" s="1">
        <v>43385</v>
      </c>
      <c r="C217" t="s">
        <v>752</v>
      </c>
      <c r="D217" t="s">
        <v>554</v>
      </c>
      <c r="E217" t="s">
        <v>555</v>
      </c>
      <c r="F217">
        <f>_xlfn.XLOOKUP(Orders4[[#This Row],[Order ID]],Details!$A:$A, Details!$B:$B)</f>
        <v>391</v>
      </c>
      <c r="G217">
        <f>_xlfn.XLOOKUP(Orders4[[#This Row],[Order ID]],Details!$A:$A,Details!C:C)</f>
        <v>113</v>
      </c>
      <c r="H217">
        <f>_xlfn.XLOOKUP(Orders4[[#This Row],[Order ID]],Details!$A:$A,Details!$D:$D)</f>
        <v>8</v>
      </c>
      <c r="I217" t="str">
        <f>_xlfn.XLOOKUP(Orders4[[#This Row],[Order ID]],Details!A:A,Details!$E:$E)</f>
        <v>Clothing</v>
      </c>
      <c r="J217" t="str">
        <f>_xlfn.XLOOKUP(Orders4[[#This Row],[Order ID]],Details!$A:$A,Details!$F:$F)</f>
        <v>Stole</v>
      </c>
      <c r="K217" t="str">
        <f>_xlfn.XLOOKUP(Orders4[[#This Row],[Order ID]],Details!$A:$A,Details!$G:$G)</f>
        <v>COD</v>
      </c>
      <c r="L217">
        <f>Orders4[[#This Row],[Amount]]/Orders4[[#This Row],[Quantity]]</f>
        <v>48.875</v>
      </c>
    </row>
    <row r="218" spans="1:12" x14ac:dyDescent="0.25">
      <c r="A218" t="s">
        <v>514</v>
      </c>
      <c r="B218" s="1">
        <v>43386</v>
      </c>
      <c r="C218" t="s">
        <v>688</v>
      </c>
      <c r="D218" t="s">
        <v>543</v>
      </c>
      <c r="E218" t="s">
        <v>544</v>
      </c>
      <c r="F218">
        <f>_xlfn.XLOOKUP(Orders4[[#This Row],[Order ID]],Details!$A:$A, Details!$B:$B)</f>
        <v>743</v>
      </c>
      <c r="G218">
        <f>_xlfn.XLOOKUP(Orders4[[#This Row],[Order ID]],Details!$A:$A,Details!C:C)</f>
        <v>89</v>
      </c>
      <c r="H218">
        <f>_xlfn.XLOOKUP(Orders4[[#This Row],[Order ID]],Details!$A:$A,Details!$D:$D)</f>
        <v>5</v>
      </c>
      <c r="I218" t="str">
        <f>_xlfn.XLOOKUP(Orders4[[#This Row],[Order ID]],Details!A:A,Details!$E:$E)</f>
        <v>Electronics</v>
      </c>
      <c r="J218" t="str">
        <f>_xlfn.XLOOKUP(Orders4[[#This Row],[Order ID]],Details!$A:$A,Details!$F:$F)</f>
        <v>Printers</v>
      </c>
      <c r="K218" t="str">
        <f>_xlfn.XLOOKUP(Orders4[[#This Row],[Order ID]],Details!$A:$A,Details!$G:$G)</f>
        <v>UPI</v>
      </c>
      <c r="L218">
        <f>Orders4[[#This Row],[Amount]]/Orders4[[#This Row],[Quantity]]</f>
        <v>148.6</v>
      </c>
    </row>
    <row r="219" spans="1:12" x14ac:dyDescent="0.25">
      <c r="A219" t="s">
        <v>198</v>
      </c>
      <c r="B219" s="1">
        <v>43387</v>
      </c>
      <c r="C219" t="s">
        <v>863</v>
      </c>
      <c r="D219" t="s">
        <v>546</v>
      </c>
      <c r="E219" t="s">
        <v>547</v>
      </c>
      <c r="F219">
        <f>_xlfn.XLOOKUP(Orders4[[#This Row],[Order ID]],Details!$A:$A, Details!$B:$B)</f>
        <v>32</v>
      </c>
      <c r="G219">
        <f>_xlfn.XLOOKUP(Orders4[[#This Row],[Order ID]],Details!$A:$A,Details!C:C)</f>
        <v>11</v>
      </c>
      <c r="H219">
        <f>_xlfn.XLOOKUP(Orders4[[#This Row],[Order ID]],Details!$A:$A,Details!$D:$D)</f>
        <v>2</v>
      </c>
      <c r="I219" t="str">
        <f>_xlfn.XLOOKUP(Orders4[[#This Row],[Order ID]],Details!A:A,Details!$E:$E)</f>
        <v>Clothing</v>
      </c>
      <c r="J219" t="str">
        <f>_xlfn.XLOOKUP(Orders4[[#This Row],[Order ID]],Details!$A:$A,Details!$F:$F)</f>
        <v>Leggings</v>
      </c>
      <c r="K219" t="str">
        <f>_xlfn.XLOOKUP(Orders4[[#This Row],[Order ID]],Details!$A:$A,Details!$G:$G)</f>
        <v>UPI</v>
      </c>
      <c r="L219">
        <f>Orders4[[#This Row],[Amount]]/Orders4[[#This Row],[Quantity]]</f>
        <v>16</v>
      </c>
    </row>
    <row r="220" spans="1:12" x14ac:dyDescent="0.25">
      <c r="A220" t="s">
        <v>213</v>
      </c>
      <c r="B220" s="1">
        <v>43388</v>
      </c>
      <c r="C220" t="s">
        <v>705</v>
      </c>
      <c r="D220" t="s">
        <v>546</v>
      </c>
      <c r="E220" t="s">
        <v>578</v>
      </c>
      <c r="F220">
        <f>_xlfn.XLOOKUP(Orders4[[#This Row],[Order ID]],Details!$A:$A, Details!$B:$B)</f>
        <v>417</v>
      </c>
      <c r="G220">
        <f>_xlfn.XLOOKUP(Orders4[[#This Row],[Order ID]],Details!$A:$A,Details!C:C)</f>
        <v>49</v>
      </c>
      <c r="H220">
        <f>_xlfn.XLOOKUP(Orders4[[#This Row],[Order ID]],Details!$A:$A,Details!$D:$D)</f>
        <v>3</v>
      </c>
      <c r="I220" t="str">
        <f>_xlfn.XLOOKUP(Orders4[[#This Row],[Order ID]],Details!A:A,Details!$E:$E)</f>
        <v>Electronics</v>
      </c>
      <c r="J220" t="str">
        <f>_xlfn.XLOOKUP(Orders4[[#This Row],[Order ID]],Details!$A:$A,Details!$F:$F)</f>
        <v>Electronic Games</v>
      </c>
      <c r="K220" t="str">
        <f>_xlfn.XLOOKUP(Orders4[[#This Row],[Order ID]],Details!$A:$A,Details!$G:$G)</f>
        <v>COD</v>
      </c>
      <c r="L220">
        <f>Orders4[[#This Row],[Amount]]/Orders4[[#This Row],[Quantity]]</f>
        <v>139</v>
      </c>
    </row>
    <row r="221" spans="1:12" x14ac:dyDescent="0.25">
      <c r="A221" t="s">
        <v>390</v>
      </c>
      <c r="B221" s="1">
        <v>43389</v>
      </c>
      <c r="C221" t="s">
        <v>847</v>
      </c>
      <c r="D221" t="s">
        <v>595</v>
      </c>
      <c r="E221" t="s">
        <v>635</v>
      </c>
      <c r="F221">
        <f>_xlfn.XLOOKUP(Orders4[[#This Row],[Order ID]],Details!$A:$A, Details!$B:$B)</f>
        <v>119</v>
      </c>
      <c r="G221">
        <f>_xlfn.XLOOKUP(Orders4[[#This Row],[Order ID]],Details!$A:$A,Details!C:C)</f>
        <v>1</v>
      </c>
      <c r="H221">
        <f>_xlfn.XLOOKUP(Orders4[[#This Row],[Order ID]],Details!$A:$A,Details!$D:$D)</f>
        <v>1</v>
      </c>
      <c r="I221" t="str">
        <f>_xlfn.XLOOKUP(Orders4[[#This Row],[Order ID]],Details!A:A,Details!$E:$E)</f>
        <v>Furniture</v>
      </c>
      <c r="J221" t="str">
        <f>_xlfn.XLOOKUP(Orders4[[#This Row],[Order ID]],Details!$A:$A,Details!$F:$F)</f>
        <v>Chairs</v>
      </c>
      <c r="K221" t="str">
        <f>_xlfn.XLOOKUP(Orders4[[#This Row],[Order ID]],Details!$A:$A,Details!$G:$G)</f>
        <v>COD</v>
      </c>
      <c r="L221">
        <f>Orders4[[#This Row],[Amount]]/Orders4[[#This Row],[Quantity]]</f>
        <v>119</v>
      </c>
    </row>
    <row r="222" spans="1:12" x14ac:dyDescent="0.25">
      <c r="A222" t="s">
        <v>139</v>
      </c>
      <c r="B222" s="1">
        <v>43389</v>
      </c>
      <c r="C222" t="s">
        <v>681</v>
      </c>
      <c r="D222" t="s">
        <v>618</v>
      </c>
      <c r="E222" t="s">
        <v>619</v>
      </c>
      <c r="F222">
        <f>_xlfn.XLOOKUP(Orders4[[#This Row],[Order ID]],Details!$A:$A, Details!$B:$B)</f>
        <v>17</v>
      </c>
      <c r="G222">
        <f>_xlfn.XLOOKUP(Orders4[[#This Row],[Order ID]],Details!$A:$A,Details!C:C)</f>
        <v>0</v>
      </c>
      <c r="H222">
        <f>_xlfn.XLOOKUP(Orders4[[#This Row],[Order ID]],Details!$A:$A,Details!$D:$D)</f>
        <v>1</v>
      </c>
      <c r="I222" t="str">
        <f>_xlfn.XLOOKUP(Orders4[[#This Row],[Order ID]],Details!A:A,Details!$E:$E)</f>
        <v>Clothing</v>
      </c>
      <c r="J222" t="str">
        <f>_xlfn.XLOOKUP(Orders4[[#This Row],[Order ID]],Details!$A:$A,Details!$F:$F)</f>
        <v>Hankerchief</v>
      </c>
      <c r="K222" t="str">
        <f>_xlfn.XLOOKUP(Orders4[[#This Row],[Order ID]],Details!$A:$A,Details!$G:$G)</f>
        <v>COD</v>
      </c>
      <c r="L222">
        <f>Orders4[[#This Row],[Amount]]/Orders4[[#This Row],[Quantity]]</f>
        <v>17</v>
      </c>
    </row>
    <row r="223" spans="1:12" x14ac:dyDescent="0.25">
      <c r="A223" t="s">
        <v>491</v>
      </c>
      <c r="B223" s="1">
        <v>43391</v>
      </c>
      <c r="C223" t="s">
        <v>896</v>
      </c>
      <c r="D223" t="s">
        <v>598</v>
      </c>
      <c r="E223" t="s">
        <v>599</v>
      </c>
      <c r="F223">
        <f>_xlfn.XLOOKUP(Orders4[[#This Row],[Order ID]],Details!$A:$A, Details!$B:$B)</f>
        <v>34</v>
      </c>
      <c r="G223">
        <f>_xlfn.XLOOKUP(Orders4[[#This Row],[Order ID]],Details!$A:$A,Details!C:C)</f>
        <v>13</v>
      </c>
      <c r="H223">
        <f>_xlfn.XLOOKUP(Orders4[[#This Row],[Order ID]],Details!$A:$A,Details!$D:$D)</f>
        <v>2</v>
      </c>
      <c r="I223" t="str">
        <f>_xlfn.XLOOKUP(Orders4[[#This Row],[Order ID]],Details!A:A,Details!$E:$E)</f>
        <v>Clothing</v>
      </c>
      <c r="J223" t="str">
        <f>_xlfn.XLOOKUP(Orders4[[#This Row],[Order ID]],Details!$A:$A,Details!$F:$F)</f>
        <v>Saree</v>
      </c>
      <c r="K223" t="str">
        <f>_xlfn.XLOOKUP(Orders4[[#This Row],[Order ID]],Details!$A:$A,Details!$G:$G)</f>
        <v>COD</v>
      </c>
      <c r="L223">
        <f>Orders4[[#This Row],[Amount]]/Orders4[[#This Row],[Quantity]]</f>
        <v>17</v>
      </c>
    </row>
    <row r="224" spans="1:12" x14ac:dyDescent="0.25">
      <c r="A224" t="s">
        <v>310</v>
      </c>
      <c r="B224" s="1">
        <v>43391</v>
      </c>
      <c r="C224" t="s">
        <v>564</v>
      </c>
      <c r="D224" t="s">
        <v>543</v>
      </c>
      <c r="E224" t="s">
        <v>544</v>
      </c>
      <c r="F224">
        <f>_xlfn.XLOOKUP(Orders4[[#This Row],[Order ID]],Details!$A:$A, Details!$B:$B)</f>
        <v>59</v>
      </c>
      <c r="G224">
        <f>_xlfn.XLOOKUP(Orders4[[#This Row],[Order ID]],Details!$A:$A,Details!C:C)</f>
        <v>6</v>
      </c>
      <c r="H224">
        <f>_xlfn.XLOOKUP(Orders4[[#This Row],[Order ID]],Details!$A:$A,Details!$D:$D)</f>
        <v>1</v>
      </c>
      <c r="I224" t="str">
        <f>_xlfn.XLOOKUP(Orders4[[#This Row],[Order ID]],Details!A:A,Details!$E:$E)</f>
        <v>Electronics</v>
      </c>
      <c r="J224" t="str">
        <f>_xlfn.XLOOKUP(Orders4[[#This Row],[Order ID]],Details!$A:$A,Details!$F:$F)</f>
        <v>Accessories</v>
      </c>
      <c r="K224" t="str">
        <f>_xlfn.XLOOKUP(Orders4[[#This Row],[Order ID]],Details!$A:$A,Details!$G:$G)</f>
        <v>UPI</v>
      </c>
      <c r="L224">
        <f>Orders4[[#This Row],[Amount]]/Orders4[[#This Row],[Quantity]]</f>
        <v>59</v>
      </c>
    </row>
    <row r="225" spans="1:12" x14ac:dyDescent="0.25">
      <c r="A225" t="s">
        <v>456</v>
      </c>
      <c r="B225" s="1">
        <v>43393</v>
      </c>
      <c r="C225" t="s">
        <v>857</v>
      </c>
      <c r="D225" t="s">
        <v>546</v>
      </c>
      <c r="E225" t="s">
        <v>547</v>
      </c>
      <c r="F225">
        <f>_xlfn.XLOOKUP(Orders4[[#This Row],[Order ID]],Details!$A:$A, Details!$B:$B)</f>
        <v>101</v>
      </c>
      <c r="G225">
        <f>_xlfn.XLOOKUP(Orders4[[#This Row],[Order ID]],Details!$A:$A,Details!C:C)</f>
        <v>38</v>
      </c>
      <c r="H225">
        <f>_xlfn.XLOOKUP(Orders4[[#This Row],[Order ID]],Details!$A:$A,Details!$D:$D)</f>
        <v>2</v>
      </c>
      <c r="I225" t="str">
        <f>_xlfn.XLOOKUP(Orders4[[#This Row],[Order ID]],Details!A:A,Details!$E:$E)</f>
        <v>Furniture</v>
      </c>
      <c r="J225" t="str">
        <f>_xlfn.XLOOKUP(Orders4[[#This Row],[Order ID]],Details!$A:$A,Details!$F:$F)</f>
        <v>Furnishings</v>
      </c>
      <c r="K225" t="str">
        <f>_xlfn.XLOOKUP(Orders4[[#This Row],[Order ID]],Details!$A:$A,Details!$G:$G)</f>
        <v>COD</v>
      </c>
      <c r="L225">
        <f>Orders4[[#This Row],[Amount]]/Orders4[[#This Row],[Quantity]]</f>
        <v>50.5</v>
      </c>
    </row>
    <row r="226" spans="1:12" x14ac:dyDescent="0.25">
      <c r="A226" t="s">
        <v>349</v>
      </c>
      <c r="B226" s="1">
        <v>43394</v>
      </c>
      <c r="C226" t="s">
        <v>665</v>
      </c>
      <c r="D226" t="s">
        <v>546</v>
      </c>
      <c r="E226" t="s">
        <v>547</v>
      </c>
      <c r="F226">
        <f>_xlfn.XLOOKUP(Orders4[[#This Row],[Order ID]],Details!$A:$A, Details!$B:$B)</f>
        <v>140</v>
      </c>
      <c r="G226">
        <f>_xlfn.XLOOKUP(Orders4[[#This Row],[Order ID]],Details!$A:$A,Details!C:C)</f>
        <v>6</v>
      </c>
      <c r="H226">
        <f>_xlfn.XLOOKUP(Orders4[[#This Row],[Order ID]],Details!$A:$A,Details!$D:$D)</f>
        <v>5</v>
      </c>
      <c r="I226" t="str">
        <f>_xlfn.XLOOKUP(Orders4[[#This Row],[Order ID]],Details!A:A,Details!$E:$E)</f>
        <v>Clothing</v>
      </c>
      <c r="J226" t="str">
        <f>_xlfn.XLOOKUP(Orders4[[#This Row],[Order ID]],Details!$A:$A,Details!$F:$F)</f>
        <v>Saree</v>
      </c>
      <c r="K226" t="str">
        <f>_xlfn.XLOOKUP(Orders4[[#This Row],[Order ID]],Details!$A:$A,Details!$G:$G)</f>
        <v>COD</v>
      </c>
      <c r="L226">
        <f>Orders4[[#This Row],[Amount]]/Orders4[[#This Row],[Quantity]]</f>
        <v>28</v>
      </c>
    </row>
    <row r="227" spans="1:12" x14ac:dyDescent="0.25">
      <c r="A227" t="s">
        <v>508</v>
      </c>
      <c r="B227" s="1">
        <v>43395</v>
      </c>
      <c r="C227" t="s">
        <v>708</v>
      </c>
      <c r="D227" t="s">
        <v>543</v>
      </c>
      <c r="E227" t="s">
        <v>544</v>
      </c>
      <c r="F227">
        <f>_xlfn.XLOOKUP(Orders4[[#This Row],[Order ID]],Details!$A:$A, Details!$B:$B)</f>
        <v>637</v>
      </c>
      <c r="G227">
        <f>_xlfn.XLOOKUP(Orders4[[#This Row],[Order ID]],Details!$A:$A,Details!C:C)</f>
        <v>261</v>
      </c>
      <c r="H227">
        <f>_xlfn.XLOOKUP(Orders4[[#This Row],[Order ID]],Details!$A:$A,Details!$D:$D)</f>
        <v>2</v>
      </c>
      <c r="I227" t="str">
        <f>_xlfn.XLOOKUP(Orders4[[#This Row],[Order ID]],Details!A:A,Details!$E:$E)</f>
        <v>Electronics</v>
      </c>
      <c r="J227" t="str">
        <f>_xlfn.XLOOKUP(Orders4[[#This Row],[Order ID]],Details!$A:$A,Details!$F:$F)</f>
        <v>Printers</v>
      </c>
      <c r="K227" t="str">
        <f>_xlfn.XLOOKUP(Orders4[[#This Row],[Order ID]],Details!$A:$A,Details!$G:$G)</f>
        <v>COD</v>
      </c>
      <c r="L227">
        <f>Orders4[[#This Row],[Amount]]/Orders4[[#This Row],[Quantity]]</f>
        <v>318.5</v>
      </c>
    </row>
    <row r="228" spans="1:12" x14ac:dyDescent="0.25">
      <c r="A228" t="s">
        <v>429</v>
      </c>
      <c r="B228" s="1">
        <v>43396</v>
      </c>
      <c r="C228" t="s">
        <v>603</v>
      </c>
      <c r="D228" t="s">
        <v>546</v>
      </c>
      <c r="E228" t="s">
        <v>547</v>
      </c>
      <c r="F228">
        <f>_xlfn.XLOOKUP(Orders4[[#This Row],[Order ID]],Details!$A:$A, Details!$B:$B)</f>
        <v>156</v>
      </c>
      <c r="G228">
        <f>_xlfn.XLOOKUP(Orders4[[#This Row],[Order ID]],Details!$A:$A,Details!C:C)</f>
        <v>21</v>
      </c>
      <c r="H228">
        <f>_xlfn.XLOOKUP(Orders4[[#This Row],[Order ID]],Details!$A:$A,Details!$D:$D)</f>
        <v>3</v>
      </c>
      <c r="I228" t="str">
        <f>_xlfn.XLOOKUP(Orders4[[#This Row],[Order ID]],Details!A:A,Details!$E:$E)</f>
        <v>Furniture</v>
      </c>
      <c r="J228" t="str">
        <f>_xlfn.XLOOKUP(Orders4[[#This Row],[Order ID]],Details!$A:$A,Details!$F:$F)</f>
        <v>Chairs</v>
      </c>
      <c r="K228" t="str">
        <f>_xlfn.XLOOKUP(Orders4[[#This Row],[Order ID]],Details!$A:$A,Details!$G:$G)</f>
        <v>COD</v>
      </c>
      <c r="L228">
        <f>Orders4[[#This Row],[Amount]]/Orders4[[#This Row],[Quantity]]</f>
        <v>52</v>
      </c>
    </row>
    <row r="229" spans="1:12" x14ac:dyDescent="0.25">
      <c r="A229" t="s">
        <v>180</v>
      </c>
      <c r="B229" s="1">
        <v>43397</v>
      </c>
      <c r="C229" t="s">
        <v>726</v>
      </c>
      <c r="D229" t="s">
        <v>575</v>
      </c>
      <c r="E229" t="s">
        <v>576</v>
      </c>
      <c r="F229">
        <f>_xlfn.XLOOKUP(Orders4[[#This Row],[Order ID]],Details!$A:$A, Details!$B:$B)</f>
        <v>537</v>
      </c>
      <c r="G229">
        <f>_xlfn.XLOOKUP(Orders4[[#This Row],[Order ID]],Details!$A:$A,Details!C:C)</f>
        <v>107</v>
      </c>
      <c r="H229">
        <f>_xlfn.XLOOKUP(Orders4[[#This Row],[Order ID]],Details!$A:$A,Details!$D:$D)</f>
        <v>3</v>
      </c>
      <c r="I229" t="str">
        <f>_xlfn.XLOOKUP(Orders4[[#This Row],[Order ID]],Details!A:A,Details!$E:$E)</f>
        <v>Clothing</v>
      </c>
      <c r="J229" t="str">
        <f>_xlfn.XLOOKUP(Orders4[[#This Row],[Order ID]],Details!$A:$A,Details!$F:$F)</f>
        <v>Saree</v>
      </c>
      <c r="K229" t="str">
        <f>_xlfn.XLOOKUP(Orders4[[#This Row],[Order ID]],Details!$A:$A,Details!$G:$G)</f>
        <v>COD</v>
      </c>
      <c r="L229">
        <f>Orders4[[#This Row],[Amount]]/Orders4[[#This Row],[Quantity]]</f>
        <v>179</v>
      </c>
    </row>
    <row r="230" spans="1:12" x14ac:dyDescent="0.25">
      <c r="A230" t="s">
        <v>481</v>
      </c>
      <c r="B230" s="1">
        <v>43398</v>
      </c>
      <c r="C230" t="s">
        <v>763</v>
      </c>
      <c r="D230" t="s">
        <v>593</v>
      </c>
      <c r="E230" t="s">
        <v>576</v>
      </c>
      <c r="F230">
        <f>_xlfn.XLOOKUP(Orders4[[#This Row],[Order ID]],Details!$A:$A, Details!$B:$B)</f>
        <v>345</v>
      </c>
      <c r="G230">
        <f>_xlfn.XLOOKUP(Orders4[[#This Row],[Order ID]],Details!$A:$A,Details!C:C)</f>
        <v>38</v>
      </c>
      <c r="H230">
        <f>_xlfn.XLOOKUP(Orders4[[#This Row],[Order ID]],Details!$A:$A,Details!$D:$D)</f>
        <v>7</v>
      </c>
      <c r="I230" t="str">
        <f>_xlfn.XLOOKUP(Orders4[[#This Row],[Order ID]],Details!A:A,Details!$E:$E)</f>
        <v>Clothing</v>
      </c>
      <c r="J230" t="str">
        <f>_xlfn.XLOOKUP(Orders4[[#This Row],[Order ID]],Details!$A:$A,Details!$F:$F)</f>
        <v>Hankerchief</v>
      </c>
      <c r="K230" t="str">
        <f>_xlfn.XLOOKUP(Orders4[[#This Row],[Order ID]],Details!$A:$A,Details!$G:$G)</f>
        <v>Debit Card</v>
      </c>
      <c r="L230">
        <f>Orders4[[#This Row],[Amount]]/Orders4[[#This Row],[Quantity]]</f>
        <v>49.285714285714285</v>
      </c>
    </row>
    <row r="231" spans="1:12" x14ac:dyDescent="0.25">
      <c r="A231" t="s">
        <v>50</v>
      </c>
      <c r="B231" s="1">
        <v>43399</v>
      </c>
      <c r="C231" t="s">
        <v>570</v>
      </c>
      <c r="D231" t="s">
        <v>571</v>
      </c>
      <c r="E231" t="s">
        <v>572</v>
      </c>
      <c r="F231">
        <f>_xlfn.XLOOKUP(Orders4[[#This Row],[Order ID]],Details!$A:$A, Details!$B:$B)</f>
        <v>1954</v>
      </c>
      <c r="G231">
        <f>_xlfn.XLOOKUP(Orders4[[#This Row],[Order ID]],Details!$A:$A,Details!C:C)</f>
        <v>782</v>
      </c>
      <c r="H231">
        <f>_xlfn.XLOOKUP(Orders4[[#This Row],[Order ID]],Details!$A:$A,Details!$D:$D)</f>
        <v>3</v>
      </c>
      <c r="I231" t="str">
        <f>_xlfn.XLOOKUP(Orders4[[#This Row],[Order ID]],Details!A:A,Details!$E:$E)</f>
        <v>Electronics</v>
      </c>
      <c r="J231" t="str">
        <f>_xlfn.XLOOKUP(Orders4[[#This Row],[Order ID]],Details!$A:$A,Details!$F:$F)</f>
        <v>Phones</v>
      </c>
      <c r="K231" t="str">
        <f>_xlfn.XLOOKUP(Orders4[[#This Row],[Order ID]],Details!$A:$A,Details!$G:$G)</f>
        <v>Credit Card</v>
      </c>
      <c r="L231">
        <f>Orders4[[#This Row],[Amount]]/Orders4[[#This Row],[Quantity]]</f>
        <v>651.33333333333337</v>
      </c>
    </row>
    <row r="232" spans="1:12" x14ac:dyDescent="0.25">
      <c r="A232" t="s">
        <v>154</v>
      </c>
      <c r="B232" s="1">
        <v>43400</v>
      </c>
      <c r="C232" t="s">
        <v>641</v>
      </c>
      <c r="D232" t="s">
        <v>697</v>
      </c>
      <c r="E232" t="s">
        <v>698</v>
      </c>
      <c r="F232">
        <f>_xlfn.XLOOKUP(Orders4[[#This Row],[Order ID]],Details!$A:$A, Details!$B:$B)</f>
        <v>693</v>
      </c>
      <c r="G232">
        <f>_xlfn.XLOOKUP(Orders4[[#This Row],[Order ID]],Details!$A:$A,Details!C:C)</f>
        <v>254</v>
      </c>
      <c r="H232">
        <f>_xlfn.XLOOKUP(Orders4[[#This Row],[Order ID]],Details!$A:$A,Details!$D:$D)</f>
        <v>6</v>
      </c>
      <c r="I232" t="str">
        <f>_xlfn.XLOOKUP(Orders4[[#This Row],[Order ID]],Details!A:A,Details!$E:$E)</f>
        <v>Clothing</v>
      </c>
      <c r="J232" t="str">
        <f>_xlfn.XLOOKUP(Orders4[[#This Row],[Order ID]],Details!$A:$A,Details!$F:$F)</f>
        <v>Saree</v>
      </c>
      <c r="K232" t="str">
        <f>_xlfn.XLOOKUP(Orders4[[#This Row],[Order ID]],Details!$A:$A,Details!$G:$G)</f>
        <v>COD</v>
      </c>
      <c r="L232">
        <f>Orders4[[#This Row],[Amount]]/Orders4[[#This Row],[Quantity]]</f>
        <v>115.5</v>
      </c>
    </row>
    <row r="233" spans="1:12" x14ac:dyDescent="0.25">
      <c r="A233" t="s">
        <v>183</v>
      </c>
      <c r="B233" s="1">
        <v>43401</v>
      </c>
      <c r="C233" t="s">
        <v>732</v>
      </c>
      <c r="D233" t="s">
        <v>543</v>
      </c>
      <c r="E233" t="s">
        <v>544</v>
      </c>
      <c r="F233">
        <f>_xlfn.XLOOKUP(Orders4[[#This Row],[Order ID]],Details!$A:$A, Details!$B:$B)</f>
        <v>504</v>
      </c>
      <c r="G233">
        <f>_xlfn.XLOOKUP(Orders4[[#This Row],[Order ID]],Details!$A:$A,Details!C:C)</f>
        <v>116</v>
      </c>
      <c r="H233">
        <f>_xlfn.XLOOKUP(Orders4[[#This Row],[Order ID]],Details!$A:$A,Details!$D:$D)</f>
        <v>3</v>
      </c>
      <c r="I233" t="str">
        <f>_xlfn.XLOOKUP(Orders4[[#This Row],[Order ID]],Details!A:A,Details!$E:$E)</f>
        <v>Furniture</v>
      </c>
      <c r="J233" t="str">
        <f>_xlfn.XLOOKUP(Orders4[[#This Row],[Order ID]],Details!$A:$A,Details!$F:$F)</f>
        <v>Bookcases</v>
      </c>
      <c r="K233" t="str">
        <f>_xlfn.XLOOKUP(Orders4[[#This Row],[Order ID]],Details!$A:$A,Details!$G:$G)</f>
        <v>COD</v>
      </c>
      <c r="L233">
        <f>Orders4[[#This Row],[Amount]]/Orders4[[#This Row],[Quantity]]</f>
        <v>168</v>
      </c>
    </row>
    <row r="234" spans="1:12" x14ac:dyDescent="0.25">
      <c r="A234" t="s">
        <v>424</v>
      </c>
      <c r="B234" s="1">
        <v>43402</v>
      </c>
      <c r="C234" t="s">
        <v>878</v>
      </c>
      <c r="D234" t="s">
        <v>546</v>
      </c>
      <c r="E234" t="s">
        <v>547</v>
      </c>
      <c r="F234">
        <f>_xlfn.XLOOKUP(Orders4[[#This Row],[Order ID]],Details!$A:$A, Details!$B:$B)</f>
        <v>64</v>
      </c>
      <c r="G234">
        <f>_xlfn.XLOOKUP(Orders4[[#This Row],[Order ID]],Details!$A:$A,Details!C:C)</f>
        <v>27</v>
      </c>
      <c r="H234">
        <f>_xlfn.XLOOKUP(Orders4[[#This Row],[Order ID]],Details!$A:$A,Details!$D:$D)</f>
        <v>5</v>
      </c>
      <c r="I234" t="str">
        <f>_xlfn.XLOOKUP(Orders4[[#This Row],[Order ID]],Details!A:A,Details!$E:$E)</f>
        <v>Clothing</v>
      </c>
      <c r="J234" t="str">
        <f>_xlfn.XLOOKUP(Orders4[[#This Row],[Order ID]],Details!$A:$A,Details!$F:$F)</f>
        <v>Hankerchief</v>
      </c>
      <c r="K234" t="str">
        <f>_xlfn.XLOOKUP(Orders4[[#This Row],[Order ID]],Details!$A:$A,Details!$G:$G)</f>
        <v>UPI</v>
      </c>
      <c r="L234">
        <f>Orders4[[#This Row],[Amount]]/Orders4[[#This Row],[Quantity]]</f>
        <v>12.8</v>
      </c>
    </row>
    <row r="235" spans="1:12" x14ac:dyDescent="0.25">
      <c r="A235" t="s">
        <v>372</v>
      </c>
      <c r="B235" s="1">
        <v>43402</v>
      </c>
      <c r="C235" t="s">
        <v>909</v>
      </c>
      <c r="D235" t="s">
        <v>554</v>
      </c>
      <c r="E235" t="s">
        <v>555</v>
      </c>
      <c r="F235">
        <f>_xlfn.XLOOKUP(Orders4[[#This Row],[Order ID]],Details!$A:$A, Details!$B:$B)</f>
        <v>16</v>
      </c>
      <c r="G235">
        <f>_xlfn.XLOOKUP(Orders4[[#This Row],[Order ID]],Details!$A:$A,Details!C:C)</f>
        <v>5</v>
      </c>
      <c r="H235">
        <f>_xlfn.XLOOKUP(Orders4[[#This Row],[Order ID]],Details!$A:$A,Details!$D:$D)</f>
        <v>1</v>
      </c>
      <c r="I235" t="str">
        <f>_xlfn.XLOOKUP(Orders4[[#This Row],[Order ID]],Details!A:A,Details!$E:$E)</f>
        <v>Clothing</v>
      </c>
      <c r="J235" t="str">
        <f>_xlfn.XLOOKUP(Orders4[[#This Row],[Order ID]],Details!$A:$A,Details!$F:$F)</f>
        <v>Stole</v>
      </c>
      <c r="K235" t="str">
        <f>_xlfn.XLOOKUP(Orders4[[#This Row],[Order ID]],Details!$A:$A,Details!$G:$G)</f>
        <v>UPI</v>
      </c>
      <c r="L235">
        <f>Orders4[[#This Row],[Amount]]/Orders4[[#This Row],[Quantity]]</f>
        <v>16</v>
      </c>
    </row>
    <row r="236" spans="1:12" x14ac:dyDescent="0.25">
      <c r="A236" t="s">
        <v>199</v>
      </c>
      <c r="B236" s="1">
        <v>43402</v>
      </c>
      <c r="C236" t="s">
        <v>819</v>
      </c>
      <c r="D236" t="s">
        <v>559</v>
      </c>
      <c r="E236" t="s">
        <v>566</v>
      </c>
      <c r="F236">
        <f>_xlfn.XLOOKUP(Orders4[[#This Row],[Order ID]],Details!$A:$A, Details!$B:$B)</f>
        <v>52</v>
      </c>
      <c r="G236">
        <f>_xlfn.XLOOKUP(Orders4[[#This Row],[Order ID]],Details!$A:$A,Details!C:C)</f>
        <v>11</v>
      </c>
      <c r="H236">
        <f>_xlfn.XLOOKUP(Orders4[[#This Row],[Order ID]],Details!$A:$A,Details!$D:$D)</f>
        <v>5</v>
      </c>
      <c r="I236" t="str">
        <f>_xlfn.XLOOKUP(Orders4[[#This Row],[Order ID]],Details!A:A,Details!$E:$E)</f>
        <v>Clothing</v>
      </c>
      <c r="J236" t="str">
        <f>_xlfn.XLOOKUP(Orders4[[#This Row],[Order ID]],Details!$A:$A,Details!$F:$F)</f>
        <v>Leggings</v>
      </c>
      <c r="K236" t="str">
        <f>_xlfn.XLOOKUP(Orders4[[#This Row],[Order ID]],Details!$A:$A,Details!$G:$G)</f>
        <v>COD</v>
      </c>
      <c r="L236">
        <f>Orders4[[#This Row],[Amount]]/Orders4[[#This Row],[Quantity]]</f>
        <v>10.4</v>
      </c>
    </row>
    <row r="237" spans="1:12" x14ac:dyDescent="0.25">
      <c r="A237" t="s">
        <v>101</v>
      </c>
      <c r="B237" s="1">
        <v>43402</v>
      </c>
      <c r="C237" t="s">
        <v>629</v>
      </c>
      <c r="D237" t="s">
        <v>543</v>
      </c>
      <c r="E237" t="s">
        <v>551</v>
      </c>
      <c r="F237">
        <f>_xlfn.XLOOKUP(Orders4[[#This Row],[Order ID]],Details!$A:$A, Details!$B:$B)</f>
        <v>1298</v>
      </c>
      <c r="G237">
        <f>_xlfn.XLOOKUP(Orders4[[#This Row],[Order ID]],Details!$A:$A,Details!C:C)</f>
        <v>65</v>
      </c>
      <c r="H237">
        <f>_xlfn.XLOOKUP(Orders4[[#This Row],[Order ID]],Details!$A:$A,Details!$D:$D)</f>
        <v>9</v>
      </c>
      <c r="I237" t="str">
        <f>_xlfn.XLOOKUP(Orders4[[#This Row],[Order ID]],Details!A:A,Details!$E:$E)</f>
        <v>Electronics</v>
      </c>
      <c r="J237" t="str">
        <f>_xlfn.XLOOKUP(Orders4[[#This Row],[Order ID]],Details!$A:$A,Details!$F:$F)</f>
        <v>Printers</v>
      </c>
      <c r="K237" t="str">
        <f>_xlfn.XLOOKUP(Orders4[[#This Row],[Order ID]],Details!$A:$A,Details!$G:$G)</f>
        <v>EMI</v>
      </c>
      <c r="L237">
        <f>Orders4[[#This Row],[Amount]]/Orders4[[#This Row],[Quantity]]</f>
        <v>144.22222222222223</v>
      </c>
    </row>
    <row r="238" spans="1:12" x14ac:dyDescent="0.25">
      <c r="A238" t="s">
        <v>201</v>
      </c>
      <c r="B238" s="1">
        <v>43402</v>
      </c>
      <c r="C238" t="s">
        <v>784</v>
      </c>
      <c r="D238" t="s">
        <v>543</v>
      </c>
      <c r="E238" t="s">
        <v>544</v>
      </c>
      <c r="F238">
        <f>_xlfn.XLOOKUP(Orders4[[#This Row],[Order ID]],Details!$A:$A, Details!$B:$B)</f>
        <v>263</v>
      </c>
      <c r="G238">
        <f>_xlfn.XLOOKUP(Orders4[[#This Row],[Order ID]],Details!$A:$A,Details!C:C)</f>
        <v>50</v>
      </c>
      <c r="H238">
        <f>_xlfn.XLOOKUP(Orders4[[#This Row],[Order ID]],Details!$A:$A,Details!$D:$D)</f>
        <v>5</v>
      </c>
      <c r="I238" t="str">
        <f>_xlfn.XLOOKUP(Orders4[[#This Row],[Order ID]],Details!A:A,Details!$E:$E)</f>
        <v>Clothing</v>
      </c>
      <c r="J238" t="str">
        <f>_xlfn.XLOOKUP(Orders4[[#This Row],[Order ID]],Details!$A:$A,Details!$F:$F)</f>
        <v>Stole</v>
      </c>
      <c r="K238" t="str">
        <f>_xlfn.XLOOKUP(Orders4[[#This Row],[Order ID]],Details!$A:$A,Details!$G:$G)</f>
        <v>COD</v>
      </c>
      <c r="L238">
        <f>Orders4[[#This Row],[Amount]]/Orders4[[#This Row],[Quantity]]</f>
        <v>52.6</v>
      </c>
    </row>
    <row r="239" spans="1:12" x14ac:dyDescent="0.25">
      <c r="A239" t="s">
        <v>330</v>
      </c>
      <c r="B239" s="1">
        <v>43402</v>
      </c>
      <c r="C239" t="s">
        <v>640</v>
      </c>
      <c r="D239" t="s">
        <v>546</v>
      </c>
      <c r="E239" t="s">
        <v>547</v>
      </c>
      <c r="F239">
        <f>_xlfn.XLOOKUP(Orders4[[#This Row],[Order ID]],Details!$A:$A, Details!$B:$B)</f>
        <v>161</v>
      </c>
      <c r="G239">
        <f>_xlfn.XLOOKUP(Orders4[[#This Row],[Order ID]],Details!$A:$A,Details!C:C)</f>
        <v>40</v>
      </c>
      <c r="H239">
        <f>_xlfn.XLOOKUP(Orders4[[#This Row],[Order ID]],Details!$A:$A,Details!$D:$D)</f>
        <v>3</v>
      </c>
      <c r="I239" t="str">
        <f>_xlfn.XLOOKUP(Orders4[[#This Row],[Order ID]],Details!A:A,Details!$E:$E)</f>
        <v>Clothing</v>
      </c>
      <c r="J239" t="str">
        <f>_xlfn.XLOOKUP(Orders4[[#This Row],[Order ID]],Details!$A:$A,Details!$F:$F)</f>
        <v>Stole</v>
      </c>
      <c r="K239" t="str">
        <f>_xlfn.XLOOKUP(Orders4[[#This Row],[Order ID]],Details!$A:$A,Details!$G:$G)</f>
        <v>COD</v>
      </c>
      <c r="L239">
        <f>Orders4[[#This Row],[Amount]]/Orders4[[#This Row],[Quantity]]</f>
        <v>53.666666666666664</v>
      </c>
    </row>
    <row r="240" spans="1:12" x14ac:dyDescent="0.25">
      <c r="A240" t="s">
        <v>118</v>
      </c>
      <c r="B240" s="1">
        <v>43403</v>
      </c>
      <c r="C240" t="s">
        <v>636</v>
      </c>
      <c r="D240" t="s">
        <v>618</v>
      </c>
      <c r="E240" t="s">
        <v>619</v>
      </c>
      <c r="F240">
        <f>_xlfn.XLOOKUP(Orders4[[#This Row],[Order ID]],Details!$A:$A, Details!$B:$B)</f>
        <v>1250</v>
      </c>
      <c r="G240">
        <f>_xlfn.XLOOKUP(Orders4[[#This Row],[Order ID]],Details!$A:$A,Details!C:C)</f>
        <v>486</v>
      </c>
      <c r="H240">
        <f>_xlfn.XLOOKUP(Orders4[[#This Row],[Order ID]],Details!$A:$A,Details!$D:$D)</f>
        <v>7</v>
      </c>
      <c r="I240" t="str">
        <f>_xlfn.XLOOKUP(Orders4[[#This Row],[Order ID]],Details!A:A,Details!$E:$E)</f>
        <v>Clothing</v>
      </c>
      <c r="J240" t="str">
        <f>_xlfn.XLOOKUP(Orders4[[#This Row],[Order ID]],Details!$A:$A,Details!$F:$F)</f>
        <v>Saree</v>
      </c>
      <c r="K240" t="str">
        <f>_xlfn.XLOOKUP(Orders4[[#This Row],[Order ID]],Details!$A:$A,Details!$G:$G)</f>
        <v>EMI</v>
      </c>
      <c r="L240">
        <f>Orders4[[#This Row],[Amount]]/Orders4[[#This Row],[Quantity]]</f>
        <v>178.57142857142858</v>
      </c>
    </row>
    <row r="241" spans="1:12" x14ac:dyDescent="0.25">
      <c r="A241" t="s">
        <v>250</v>
      </c>
      <c r="B241" s="1">
        <v>43404</v>
      </c>
      <c r="C241" t="s">
        <v>777</v>
      </c>
      <c r="D241" t="s">
        <v>598</v>
      </c>
      <c r="E241" t="s">
        <v>599</v>
      </c>
      <c r="F241">
        <f>_xlfn.XLOOKUP(Orders4[[#This Row],[Order ID]],Details!$A:$A, Details!$B:$B)</f>
        <v>298</v>
      </c>
      <c r="G241">
        <f>_xlfn.XLOOKUP(Orders4[[#This Row],[Order ID]],Details!$A:$A,Details!C:C)</f>
        <v>74</v>
      </c>
      <c r="H241">
        <f>_xlfn.XLOOKUP(Orders4[[#This Row],[Order ID]],Details!$A:$A,Details!$D:$D)</f>
        <v>2</v>
      </c>
      <c r="I241" t="str">
        <f>_xlfn.XLOOKUP(Orders4[[#This Row],[Order ID]],Details!A:A,Details!$E:$E)</f>
        <v>Furniture</v>
      </c>
      <c r="J241" t="str">
        <f>_xlfn.XLOOKUP(Orders4[[#This Row],[Order ID]],Details!$A:$A,Details!$F:$F)</f>
        <v>Bookcases</v>
      </c>
      <c r="K241" t="str">
        <f>_xlfn.XLOOKUP(Orders4[[#This Row],[Order ID]],Details!$A:$A,Details!$G:$G)</f>
        <v>COD</v>
      </c>
      <c r="L241">
        <f>Orders4[[#This Row],[Amount]]/Orders4[[#This Row],[Quantity]]</f>
        <v>149</v>
      </c>
    </row>
    <row r="242" spans="1:12" x14ac:dyDescent="0.25">
      <c r="A242" t="s">
        <v>519</v>
      </c>
      <c r="B242" s="1">
        <v>43405</v>
      </c>
      <c r="C242" t="s">
        <v>906</v>
      </c>
      <c r="D242" t="s">
        <v>543</v>
      </c>
      <c r="E242" t="s">
        <v>544</v>
      </c>
      <c r="F242">
        <f>_xlfn.XLOOKUP(Orders4[[#This Row],[Order ID]],Details!$A:$A, Details!$B:$B)</f>
        <v>22</v>
      </c>
      <c r="G242">
        <f>_xlfn.XLOOKUP(Orders4[[#This Row],[Order ID]],Details!$A:$A,Details!C:C)</f>
        <v>11</v>
      </c>
      <c r="H242">
        <f>_xlfn.XLOOKUP(Orders4[[#This Row],[Order ID]],Details!$A:$A,Details!$D:$D)</f>
        <v>2</v>
      </c>
      <c r="I242" t="str">
        <f>_xlfn.XLOOKUP(Orders4[[#This Row],[Order ID]],Details!A:A,Details!$E:$E)</f>
        <v>Clothing</v>
      </c>
      <c r="J242" t="str">
        <f>_xlfn.XLOOKUP(Orders4[[#This Row],[Order ID]],Details!$A:$A,Details!$F:$F)</f>
        <v>Skirt</v>
      </c>
      <c r="K242" t="str">
        <f>_xlfn.XLOOKUP(Orders4[[#This Row],[Order ID]],Details!$A:$A,Details!$G:$G)</f>
        <v>Credit Card</v>
      </c>
      <c r="L242">
        <f>Orders4[[#This Row],[Amount]]/Orders4[[#This Row],[Quantity]]</f>
        <v>11</v>
      </c>
    </row>
    <row r="243" spans="1:12" x14ac:dyDescent="0.25">
      <c r="A243" t="s">
        <v>51</v>
      </c>
      <c r="B243" s="1">
        <v>43406</v>
      </c>
      <c r="C243" t="s">
        <v>603</v>
      </c>
      <c r="D243" t="s">
        <v>543</v>
      </c>
      <c r="E243" t="s">
        <v>551</v>
      </c>
      <c r="F243">
        <f>_xlfn.XLOOKUP(Orders4[[#This Row],[Order ID]],Details!$A:$A, Details!$B:$B)</f>
        <v>1543</v>
      </c>
      <c r="G243">
        <f>_xlfn.XLOOKUP(Orders4[[#This Row],[Order ID]],Details!$A:$A,Details!C:C)</f>
        <v>370</v>
      </c>
      <c r="H243">
        <f>_xlfn.XLOOKUP(Orders4[[#This Row],[Order ID]],Details!$A:$A,Details!$D:$D)</f>
        <v>8</v>
      </c>
      <c r="I243" t="str">
        <f>_xlfn.XLOOKUP(Orders4[[#This Row],[Order ID]],Details!A:A,Details!$E:$E)</f>
        <v>Electronics</v>
      </c>
      <c r="J243" t="str">
        <f>_xlfn.XLOOKUP(Orders4[[#This Row],[Order ID]],Details!$A:$A,Details!$F:$F)</f>
        <v>Printers</v>
      </c>
      <c r="K243" t="str">
        <f>_xlfn.XLOOKUP(Orders4[[#This Row],[Order ID]],Details!$A:$A,Details!$G:$G)</f>
        <v>Credit Card</v>
      </c>
      <c r="L243">
        <f>Orders4[[#This Row],[Amount]]/Orders4[[#This Row],[Quantity]]</f>
        <v>192.875</v>
      </c>
    </row>
    <row r="244" spans="1:12" x14ac:dyDescent="0.25">
      <c r="A244" t="s">
        <v>241</v>
      </c>
      <c r="B244" s="1">
        <v>43407</v>
      </c>
      <c r="C244" t="s">
        <v>786</v>
      </c>
      <c r="D244" t="s">
        <v>543</v>
      </c>
      <c r="E244" t="s">
        <v>544</v>
      </c>
      <c r="F244">
        <f>_xlfn.XLOOKUP(Orders4[[#This Row],[Order ID]],Details!$A:$A, Details!$B:$B)</f>
        <v>18</v>
      </c>
      <c r="G244">
        <f>_xlfn.XLOOKUP(Orders4[[#This Row],[Order ID]],Details!$A:$A,Details!C:C)</f>
        <v>6</v>
      </c>
      <c r="H244">
        <f>_xlfn.XLOOKUP(Orders4[[#This Row],[Order ID]],Details!$A:$A,Details!$D:$D)</f>
        <v>3</v>
      </c>
      <c r="I244" t="str">
        <f>_xlfn.XLOOKUP(Orders4[[#This Row],[Order ID]],Details!A:A,Details!$E:$E)</f>
        <v>Clothing</v>
      </c>
      <c r="J244" t="str">
        <f>_xlfn.XLOOKUP(Orders4[[#This Row],[Order ID]],Details!$A:$A,Details!$F:$F)</f>
        <v>Hankerchief</v>
      </c>
      <c r="K244" t="str">
        <f>_xlfn.XLOOKUP(Orders4[[#This Row],[Order ID]],Details!$A:$A,Details!$G:$G)</f>
        <v>UPI</v>
      </c>
      <c r="L244">
        <f>Orders4[[#This Row],[Amount]]/Orders4[[#This Row],[Quantity]]</f>
        <v>6</v>
      </c>
    </row>
    <row r="245" spans="1:12" x14ac:dyDescent="0.25">
      <c r="A245" t="s">
        <v>347</v>
      </c>
      <c r="B245" s="1">
        <v>43407</v>
      </c>
      <c r="C245" t="s">
        <v>866</v>
      </c>
      <c r="D245" t="s">
        <v>546</v>
      </c>
      <c r="E245" t="s">
        <v>547</v>
      </c>
      <c r="F245">
        <f>_xlfn.XLOOKUP(Orders4[[#This Row],[Order ID]],Details!$A:$A, Details!$B:$B)</f>
        <v>86</v>
      </c>
      <c r="G245">
        <f>_xlfn.XLOOKUP(Orders4[[#This Row],[Order ID]],Details!$A:$A,Details!C:C)</f>
        <v>8</v>
      </c>
      <c r="H245">
        <f>_xlfn.XLOOKUP(Orders4[[#This Row],[Order ID]],Details!$A:$A,Details!$D:$D)</f>
        <v>2</v>
      </c>
      <c r="I245" t="str">
        <f>_xlfn.XLOOKUP(Orders4[[#This Row],[Order ID]],Details!A:A,Details!$E:$E)</f>
        <v>Clothing</v>
      </c>
      <c r="J245" t="str">
        <f>_xlfn.XLOOKUP(Orders4[[#This Row],[Order ID]],Details!$A:$A,Details!$F:$F)</f>
        <v>Saree</v>
      </c>
      <c r="K245" t="str">
        <f>_xlfn.XLOOKUP(Orders4[[#This Row],[Order ID]],Details!$A:$A,Details!$G:$G)</f>
        <v>Debit Card</v>
      </c>
      <c r="L245">
        <f>Orders4[[#This Row],[Amount]]/Orders4[[#This Row],[Quantity]]</f>
        <v>43</v>
      </c>
    </row>
    <row r="246" spans="1:12" x14ac:dyDescent="0.25">
      <c r="A246" t="s">
        <v>48</v>
      </c>
      <c r="B246" s="1">
        <v>43407</v>
      </c>
      <c r="C246" t="s">
        <v>687</v>
      </c>
      <c r="D246" t="s">
        <v>580</v>
      </c>
      <c r="E246" t="s">
        <v>581</v>
      </c>
      <c r="F246">
        <f>_xlfn.XLOOKUP(Orders4[[#This Row],[Order ID]],Details!$A:$A, Details!$B:$B)</f>
        <v>82</v>
      </c>
      <c r="G246">
        <f>_xlfn.XLOOKUP(Orders4[[#This Row],[Order ID]],Details!$A:$A,Details!C:C)</f>
        <v>-33</v>
      </c>
      <c r="H246">
        <f>_xlfn.XLOOKUP(Orders4[[#This Row],[Order ID]],Details!$A:$A,Details!$D:$D)</f>
        <v>4</v>
      </c>
      <c r="I246" t="str">
        <f>_xlfn.XLOOKUP(Orders4[[#This Row],[Order ID]],Details!A:A,Details!$E:$E)</f>
        <v>Clothing</v>
      </c>
      <c r="J246" t="str">
        <f>_xlfn.XLOOKUP(Orders4[[#This Row],[Order ID]],Details!$A:$A,Details!$F:$F)</f>
        <v>Kurti</v>
      </c>
      <c r="K246" t="str">
        <f>_xlfn.XLOOKUP(Orders4[[#This Row],[Order ID]],Details!$A:$A,Details!$G:$G)</f>
        <v>COD</v>
      </c>
      <c r="L246">
        <f>Orders4[[#This Row],[Amount]]/Orders4[[#This Row],[Quantity]]</f>
        <v>20.5</v>
      </c>
    </row>
    <row r="247" spans="1:12" x14ac:dyDescent="0.25">
      <c r="A247" t="s">
        <v>251</v>
      </c>
      <c r="B247" s="1">
        <v>43407</v>
      </c>
      <c r="C247" t="s">
        <v>864</v>
      </c>
      <c r="D247" t="s">
        <v>575</v>
      </c>
      <c r="E247" t="s">
        <v>576</v>
      </c>
      <c r="F247">
        <f>_xlfn.XLOOKUP(Orders4[[#This Row],[Order ID]],Details!$A:$A, Details!$B:$B)</f>
        <v>94</v>
      </c>
      <c r="G247">
        <f>_xlfn.XLOOKUP(Orders4[[#This Row],[Order ID]],Details!$A:$A,Details!C:C)</f>
        <v>7</v>
      </c>
      <c r="H247">
        <f>_xlfn.XLOOKUP(Orders4[[#This Row],[Order ID]],Details!$A:$A,Details!$D:$D)</f>
        <v>7</v>
      </c>
      <c r="I247" t="str">
        <f>_xlfn.XLOOKUP(Orders4[[#This Row],[Order ID]],Details!A:A,Details!$E:$E)</f>
        <v>Clothing</v>
      </c>
      <c r="J247" t="str">
        <f>_xlfn.XLOOKUP(Orders4[[#This Row],[Order ID]],Details!$A:$A,Details!$F:$F)</f>
        <v>Leggings</v>
      </c>
      <c r="K247" t="str">
        <f>_xlfn.XLOOKUP(Orders4[[#This Row],[Order ID]],Details!$A:$A,Details!$G:$G)</f>
        <v>UPI</v>
      </c>
      <c r="L247">
        <f>Orders4[[#This Row],[Amount]]/Orders4[[#This Row],[Quantity]]</f>
        <v>13.428571428571429</v>
      </c>
    </row>
    <row r="248" spans="1:12" x14ac:dyDescent="0.25">
      <c r="A248" t="s">
        <v>162</v>
      </c>
      <c r="B248" s="1">
        <v>43407</v>
      </c>
      <c r="C248" t="s">
        <v>706</v>
      </c>
      <c r="D248" t="s">
        <v>593</v>
      </c>
      <c r="E248" t="s">
        <v>576</v>
      </c>
      <c r="F248">
        <f>_xlfn.XLOOKUP(Orders4[[#This Row],[Order ID]],Details!$A:$A, Details!$B:$B)</f>
        <v>643</v>
      </c>
      <c r="G248">
        <f>_xlfn.XLOOKUP(Orders4[[#This Row],[Order ID]],Details!$A:$A,Details!C:C)</f>
        <v>225</v>
      </c>
      <c r="H248">
        <f>_xlfn.XLOOKUP(Orders4[[#This Row],[Order ID]],Details!$A:$A,Details!$D:$D)</f>
        <v>2</v>
      </c>
      <c r="I248" t="str">
        <f>_xlfn.XLOOKUP(Orders4[[#This Row],[Order ID]],Details!A:A,Details!$E:$E)</f>
        <v>Electronics</v>
      </c>
      <c r="J248" t="str">
        <f>_xlfn.XLOOKUP(Orders4[[#This Row],[Order ID]],Details!$A:$A,Details!$F:$F)</f>
        <v>Printers</v>
      </c>
      <c r="K248" t="str">
        <f>_xlfn.XLOOKUP(Orders4[[#This Row],[Order ID]],Details!$A:$A,Details!$G:$G)</f>
        <v>COD</v>
      </c>
      <c r="L248">
        <f>Orders4[[#This Row],[Amount]]/Orders4[[#This Row],[Quantity]]</f>
        <v>321.5</v>
      </c>
    </row>
    <row r="249" spans="1:12" x14ac:dyDescent="0.25">
      <c r="A249" t="s">
        <v>214</v>
      </c>
      <c r="B249" s="1">
        <v>43407</v>
      </c>
      <c r="C249" t="s">
        <v>564</v>
      </c>
      <c r="D249" t="s">
        <v>571</v>
      </c>
      <c r="E249" t="s">
        <v>572</v>
      </c>
      <c r="F249">
        <f>_xlfn.XLOOKUP(Orders4[[#This Row],[Order ID]],Details!$A:$A, Details!$B:$B)</f>
        <v>648</v>
      </c>
      <c r="G249">
        <f>_xlfn.XLOOKUP(Orders4[[#This Row],[Order ID]],Details!$A:$A,Details!C:C)</f>
        <v>50</v>
      </c>
      <c r="H249">
        <f>_xlfn.XLOOKUP(Orders4[[#This Row],[Order ID]],Details!$A:$A,Details!$D:$D)</f>
        <v>6</v>
      </c>
      <c r="I249" t="str">
        <f>_xlfn.XLOOKUP(Orders4[[#This Row],[Order ID]],Details!A:A,Details!$E:$E)</f>
        <v>Electronics</v>
      </c>
      <c r="J249" t="str">
        <f>_xlfn.XLOOKUP(Orders4[[#This Row],[Order ID]],Details!$A:$A,Details!$F:$F)</f>
        <v>Electronic Games</v>
      </c>
      <c r="K249" t="str">
        <f>_xlfn.XLOOKUP(Orders4[[#This Row],[Order ID]],Details!$A:$A,Details!$G:$G)</f>
        <v>Credit Card</v>
      </c>
      <c r="L249">
        <f>Orders4[[#This Row],[Amount]]/Orders4[[#This Row],[Quantity]]</f>
        <v>108</v>
      </c>
    </row>
    <row r="250" spans="1:12" x14ac:dyDescent="0.25">
      <c r="A250" t="s">
        <v>404</v>
      </c>
      <c r="B250" s="1">
        <v>43408</v>
      </c>
      <c r="C250" t="s">
        <v>765</v>
      </c>
      <c r="D250" t="s">
        <v>697</v>
      </c>
      <c r="E250" t="s">
        <v>698</v>
      </c>
      <c r="F250">
        <f>_xlfn.XLOOKUP(Orders4[[#This Row],[Order ID]],Details!$A:$A, Details!$B:$B)</f>
        <v>336</v>
      </c>
      <c r="G250">
        <f>_xlfn.XLOOKUP(Orders4[[#This Row],[Order ID]],Details!$A:$A,Details!C:C)</f>
        <v>123</v>
      </c>
      <c r="H250">
        <f>_xlfn.XLOOKUP(Orders4[[#This Row],[Order ID]],Details!$A:$A,Details!$D:$D)</f>
        <v>3</v>
      </c>
      <c r="I250" t="str">
        <f>_xlfn.XLOOKUP(Orders4[[#This Row],[Order ID]],Details!A:A,Details!$E:$E)</f>
        <v>Electronics</v>
      </c>
      <c r="J250" t="str">
        <f>_xlfn.XLOOKUP(Orders4[[#This Row],[Order ID]],Details!$A:$A,Details!$F:$F)</f>
        <v>Phones</v>
      </c>
      <c r="K250" t="str">
        <f>_xlfn.XLOOKUP(Orders4[[#This Row],[Order ID]],Details!$A:$A,Details!$G:$G)</f>
        <v>UPI</v>
      </c>
      <c r="L250">
        <f>Orders4[[#This Row],[Amount]]/Orders4[[#This Row],[Quantity]]</f>
        <v>112</v>
      </c>
    </row>
    <row r="251" spans="1:12" x14ac:dyDescent="0.25">
      <c r="A251" t="s">
        <v>111</v>
      </c>
      <c r="B251" s="1">
        <v>43409</v>
      </c>
      <c r="C251" t="s">
        <v>663</v>
      </c>
      <c r="D251" t="s">
        <v>647</v>
      </c>
      <c r="E251" t="s">
        <v>647</v>
      </c>
      <c r="F251">
        <f>_xlfn.XLOOKUP(Orders4[[#This Row],[Order ID]],Details!$A:$A, Details!$B:$B)</f>
        <v>916</v>
      </c>
      <c r="G251">
        <f>_xlfn.XLOOKUP(Orders4[[#This Row],[Order ID]],Details!$A:$A,Details!C:C)</f>
        <v>192</v>
      </c>
      <c r="H251">
        <f>_xlfn.XLOOKUP(Orders4[[#This Row],[Order ID]],Details!$A:$A,Details!$D:$D)</f>
        <v>11</v>
      </c>
      <c r="I251" t="str">
        <f>_xlfn.XLOOKUP(Orders4[[#This Row],[Order ID]],Details!A:A,Details!$E:$E)</f>
        <v>Electronics</v>
      </c>
      <c r="J251" t="str">
        <f>_xlfn.XLOOKUP(Orders4[[#This Row],[Order ID]],Details!$A:$A,Details!$F:$F)</f>
        <v>Phones</v>
      </c>
      <c r="K251" t="str">
        <f>_xlfn.XLOOKUP(Orders4[[#This Row],[Order ID]],Details!$A:$A,Details!$G:$G)</f>
        <v>COD</v>
      </c>
      <c r="L251">
        <f>Orders4[[#This Row],[Amount]]/Orders4[[#This Row],[Quantity]]</f>
        <v>83.272727272727266</v>
      </c>
    </row>
    <row r="252" spans="1:12" x14ac:dyDescent="0.25">
      <c r="A252" t="s">
        <v>31</v>
      </c>
      <c r="B252" s="1">
        <v>43410</v>
      </c>
      <c r="C252" t="s">
        <v>766</v>
      </c>
      <c r="D252" t="s">
        <v>584</v>
      </c>
      <c r="E252" t="s">
        <v>585</v>
      </c>
      <c r="F252">
        <f>_xlfn.XLOOKUP(Orders4[[#This Row],[Order ID]],Details!$A:$A, Details!$B:$B)</f>
        <v>135</v>
      </c>
      <c r="G252">
        <f>_xlfn.XLOOKUP(Orders4[[#This Row],[Order ID]],Details!$A:$A,Details!C:C)</f>
        <v>-54</v>
      </c>
      <c r="H252">
        <f>_xlfn.XLOOKUP(Orders4[[#This Row],[Order ID]],Details!$A:$A,Details!$D:$D)</f>
        <v>5</v>
      </c>
      <c r="I252" t="str">
        <f>_xlfn.XLOOKUP(Orders4[[#This Row],[Order ID]],Details!A:A,Details!$E:$E)</f>
        <v>Clothing</v>
      </c>
      <c r="J252" t="str">
        <f>_xlfn.XLOOKUP(Orders4[[#This Row],[Order ID]],Details!$A:$A,Details!$F:$F)</f>
        <v>Kurti</v>
      </c>
      <c r="K252" t="str">
        <f>_xlfn.XLOOKUP(Orders4[[#This Row],[Order ID]],Details!$A:$A,Details!$G:$G)</f>
        <v>COD</v>
      </c>
      <c r="L252">
        <f>Orders4[[#This Row],[Amount]]/Orders4[[#This Row],[Quantity]]</f>
        <v>27</v>
      </c>
    </row>
    <row r="253" spans="1:12" x14ac:dyDescent="0.25">
      <c r="A253" t="s">
        <v>113</v>
      </c>
      <c r="B253" s="1">
        <v>43411</v>
      </c>
      <c r="C253" t="s">
        <v>670</v>
      </c>
      <c r="D253" t="s">
        <v>554</v>
      </c>
      <c r="E253" t="s">
        <v>555</v>
      </c>
      <c r="F253">
        <f>_xlfn.XLOOKUP(Orders4[[#This Row],[Order ID]],Details!$A:$A, Details!$B:$B)</f>
        <v>869</v>
      </c>
      <c r="G253">
        <f>_xlfn.XLOOKUP(Orders4[[#This Row],[Order ID]],Details!$A:$A,Details!C:C)</f>
        <v>67</v>
      </c>
      <c r="H253">
        <f>_xlfn.XLOOKUP(Orders4[[#This Row],[Order ID]],Details!$A:$A,Details!$D:$D)</f>
        <v>4</v>
      </c>
      <c r="I253" t="str">
        <f>_xlfn.XLOOKUP(Orders4[[#This Row],[Order ID]],Details!A:A,Details!$E:$E)</f>
        <v>Furniture</v>
      </c>
      <c r="J253" t="str">
        <f>_xlfn.XLOOKUP(Orders4[[#This Row],[Order ID]],Details!$A:$A,Details!$F:$F)</f>
        <v>Tables</v>
      </c>
      <c r="K253" t="str">
        <f>_xlfn.XLOOKUP(Orders4[[#This Row],[Order ID]],Details!$A:$A,Details!$G:$G)</f>
        <v>COD</v>
      </c>
      <c r="L253">
        <f>Orders4[[#This Row],[Amount]]/Orders4[[#This Row],[Quantity]]</f>
        <v>217.25</v>
      </c>
    </row>
    <row r="254" spans="1:12" x14ac:dyDescent="0.25">
      <c r="A254" t="s">
        <v>41</v>
      </c>
      <c r="B254" s="1">
        <v>43412</v>
      </c>
      <c r="C254" t="s">
        <v>565</v>
      </c>
      <c r="D254" t="s">
        <v>559</v>
      </c>
      <c r="E254" t="s">
        <v>566</v>
      </c>
      <c r="F254">
        <f>_xlfn.XLOOKUP(Orders4[[#This Row],[Order ID]],Details!$A:$A, Details!$B:$B)</f>
        <v>2093</v>
      </c>
      <c r="G254">
        <f>_xlfn.XLOOKUP(Orders4[[#This Row],[Order ID]],Details!$A:$A,Details!C:C)</f>
        <v>721</v>
      </c>
      <c r="H254">
        <f>_xlfn.XLOOKUP(Orders4[[#This Row],[Order ID]],Details!$A:$A,Details!$D:$D)</f>
        <v>5</v>
      </c>
      <c r="I254" t="str">
        <f>_xlfn.XLOOKUP(Orders4[[#This Row],[Order ID]],Details!A:A,Details!$E:$E)</f>
        <v>Furniture</v>
      </c>
      <c r="J254" t="str">
        <f>_xlfn.XLOOKUP(Orders4[[#This Row],[Order ID]],Details!$A:$A,Details!$F:$F)</f>
        <v>Chairs</v>
      </c>
      <c r="K254" t="str">
        <f>_xlfn.XLOOKUP(Orders4[[#This Row],[Order ID]],Details!$A:$A,Details!$G:$G)</f>
        <v>Credit Card</v>
      </c>
      <c r="L254">
        <f>Orders4[[#This Row],[Amount]]/Orders4[[#This Row],[Quantity]]</f>
        <v>418.6</v>
      </c>
    </row>
    <row r="255" spans="1:12" x14ac:dyDescent="0.25">
      <c r="A255" t="s">
        <v>234</v>
      </c>
      <c r="B255" s="1">
        <v>43412</v>
      </c>
      <c r="C255" t="s">
        <v>701</v>
      </c>
      <c r="D255" t="s">
        <v>543</v>
      </c>
      <c r="E255" t="s">
        <v>551</v>
      </c>
      <c r="F255">
        <f>_xlfn.XLOOKUP(Orders4[[#This Row],[Order ID]],Details!$A:$A, Details!$B:$B)</f>
        <v>381</v>
      </c>
      <c r="G255">
        <f>_xlfn.XLOOKUP(Orders4[[#This Row],[Order ID]],Details!$A:$A,Details!C:C)</f>
        <v>144</v>
      </c>
      <c r="H255">
        <f>_xlfn.XLOOKUP(Orders4[[#This Row],[Order ID]],Details!$A:$A,Details!$D:$D)</f>
        <v>2</v>
      </c>
      <c r="I255" t="str">
        <f>_xlfn.XLOOKUP(Orders4[[#This Row],[Order ID]],Details!A:A,Details!$E:$E)</f>
        <v>Clothing</v>
      </c>
      <c r="J255" t="str">
        <f>_xlfn.XLOOKUP(Orders4[[#This Row],[Order ID]],Details!$A:$A,Details!$F:$F)</f>
        <v>Saree</v>
      </c>
      <c r="K255" t="str">
        <f>_xlfn.XLOOKUP(Orders4[[#This Row],[Order ID]],Details!$A:$A,Details!$G:$G)</f>
        <v>COD</v>
      </c>
      <c r="L255">
        <f>Orders4[[#This Row],[Amount]]/Orders4[[#This Row],[Quantity]]</f>
        <v>190.5</v>
      </c>
    </row>
    <row r="256" spans="1:12" x14ac:dyDescent="0.25">
      <c r="A256" t="s">
        <v>171</v>
      </c>
      <c r="B256" s="1">
        <v>43412</v>
      </c>
      <c r="C256" t="s">
        <v>621</v>
      </c>
      <c r="D256" t="s">
        <v>546</v>
      </c>
      <c r="E256" t="s">
        <v>578</v>
      </c>
      <c r="F256">
        <f>_xlfn.XLOOKUP(Orders4[[#This Row],[Order ID]],Details!$A:$A, Details!$B:$B)</f>
        <v>829</v>
      </c>
      <c r="G256">
        <f>_xlfn.XLOOKUP(Orders4[[#This Row],[Order ID]],Details!$A:$A,Details!C:C)</f>
        <v>19</v>
      </c>
      <c r="H256">
        <f>_xlfn.XLOOKUP(Orders4[[#This Row],[Order ID]],Details!$A:$A,Details!$D:$D)</f>
        <v>4</v>
      </c>
      <c r="I256" t="str">
        <f>_xlfn.XLOOKUP(Orders4[[#This Row],[Order ID]],Details!A:A,Details!$E:$E)</f>
        <v>Electronics</v>
      </c>
      <c r="J256" t="str">
        <f>_xlfn.XLOOKUP(Orders4[[#This Row],[Order ID]],Details!$A:$A,Details!$F:$F)</f>
        <v>Printers</v>
      </c>
      <c r="K256" t="str">
        <f>_xlfn.XLOOKUP(Orders4[[#This Row],[Order ID]],Details!$A:$A,Details!$G:$G)</f>
        <v>Credit Card</v>
      </c>
      <c r="L256">
        <f>Orders4[[#This Row],[Amount]]/Orders4[[#This Row],[Quantity]]</f>
        <v>207.25</v>
      </c>
    </row>
    <row r="257" spans="1:12" x14ac:dyDescent="0.25">
      <c r="A257" t="s">
        <v>269</v>
      </c>
      <c r="B257" s="1">
        <v>43414</v>
      </c>
      <c r="C257" t="s">
        <v>621</v>
      </c>
      <c r="D257" t="s">
        <v>543</v>
      </c>
      <c r="E257" t="s">
        <v>544</v>
      </c>
      <c r="F257">
        <f>_xlfn.XLOOKUP(Orders4[[#This Row],[Order ID]],Details!$A:$A, Details!$B:$B)</f>
        <v>257</v>
      </c>
      <c r="G257">
        <f>_xlfn.XLOOKUP(Orders4[[#This Row],[Order ID]],Details!$A:$A,Details!C:C)</f>
        <v>3</v>
      </c>
      <c r="H257">
        <f>_xlfn.XLOOKUP(Orders4[[#This Row],[Order ID]],Details!$A:$A,Details!$D:$D)</f>
        <v>2</v>
      </c>
      <c r="I257" t="str">
        <f>_xlfn.XLOOKUP(Orders4[[#This Row],[Order ID]],Details!A:A,Details!$E:$E)</f>
        <v>Clothing</v>
      </c>
      <c r="J257" t="str">
        <f>_xlfn.XLOOKUP(Orders4[[#This Row],[Order ID]],Details!$A:$A,Details!$F:$F)</f>
        <v>Saree</v>
      </c>
      <c r="K257" t="str">
        <f>_xlfn.XLOOKUP(Orders4[[#This Row],[Order ID]],Details!$A:$A,Details!$G:$G)</f>
        <v>COD</v>
      </c>
      <c r="L257">
        <f>Orders4[[#This Row],[Amount]]/Orders4[[#This Row],[Quantity]]</f>
        <v>128.5</v>
      </c>
    </row>
    <row r="258" spans="1:12" x14ac:dyDescent="0.25">
      <c r="A258" t="s">
        <v>291</v>
      </c>
      <c r="B258" s="1">
        <v>43414</v>
      </c>
      <c r="C258" t="s">
        <v>716</v>
      </c>
      <c r="D258" t="s">
        <v>546</v>
      </c>
      <c r="E258" t="s">
        <v>547</v>
      </c>
      <c r="F258">
        <f>_xlfn.XLOOKUP(Orders4[[#This Row],[Order ID]],Details!$A:$A, Details!$B:$B)</f>
        <v>324</v>
      </c>
      <c r="G258">
        <f>_xlfn.XLOOKUP(Orders4[[#This Row],[Order ID]],Details!$A:$A,Details!C:C)</f>
        <v>39</v>
      </c>
      <c r="H258">
        <f>_xlfn.XLOOKUP(Orders4[[#This Row],[Order ID]],Details!$A:$A,Details!$D:$D)</f>
        <v>8</v>
      </c>
      <c r="I258" t="str">
        <f>_xlfn.XLOOKUP(Orders4[[#This Row],[Order ID]],Details!A:A,Details!$E:$E)</f>
        <v>Electronics</v>
      </c>
      <c r="J258" t="str">
        <f>_xlfn.XLOOKUP(Orders4[[#This Row],[Order ID]],Details!$A:$A,Details!$F:$F)</f>
        <v>Accessories</v>
      </c>
      <c r="K258" t="str">
        <f>_xlfn.XLOOKUP(Orders4[[#This Row],[Order ID]],Details!$A:$A,Details!$G:$G)</f>
        <v>Credit Card</v>
      </c>
      <c r="L258">
        <f>Orders4[[#This Row],[Amount]]/Orders4[[#This Row],[Quantity]]</f>
        <v>40.5</v>
      </c>
    </row>
    <row r="259" spans="1:12" x14ac:dyDescent="0.25">
      <c r="A259" t="s">
        <v>187</v>
      </c>
      <c r="B259" s="1">
        <v>43417</v>
      </c>
      <c r="C259" t="s">
        <v>557</v>
      </c>
      <c r="D259" t="s">
        <v>543</v>
      </c>
      <c r="E259" t="s">
        <v>544</v>
      </c>
      <c r="F259">
        <f>_xlfn.XLOOKUP(Orders4[[#This Row],[Order ID]],Details!$A:$A, Details!$B:$B)</f>
        <v>29</v>
      </c>
      <c r="G259">
        <f>_xlfn.XLOOKUP(Orders4[[#This Row],[Order ID]],Details!$A:$A,Details!C:C)</f>
        <v>11</v>
      </c>
      <c r="H259">
        <f>_xlfn.XLOOKUP(Orders4[[#This Row],[Order ID]],Details!$A:$A,Details!$D:$D)</f>
        <v>4</v>
      </c>
      <c r="I259" t="str">
        <f>_xlfn.XLOOKUP(Orders4[[#This Row],[Order ID]],Details!A:A,Details!$E:$E)</f>
        <v>Clothing</v>
      </c>
      <c r="J259" t="str">
        <f>_xlfn.XLOOKUP(Orders4[[#This Row],[Order ID]],Details!$A:$A,Details!$F:$F)</f>
        <v>Skirt</v>
      </c>
      <c r="K259" t="str">
        <f>_xlfn.XLOOKUP(Orders4[[#This Row],[Order ID]],Details!$A:$A,Details!$G:$G)</f>
        <v>COD</v>
      </c>
      <c r="L259">
        <f>Orders4[[#This Row],[Amount]]/Orders4[[#This Row],[Quantity]]</f>
        <v>7.25</v>
      </c>
    </row>
    <row r="260" spans="1:12" x14ac:dyDescent="0.25">
      <c r="A260" t="s">
        <v>513</v>
      </c>
      <c r="B260" s="1">
        <v>43418</v>
      </c>
      <c r="C260" t="s">
        <v>694</v>
      </c>
      <c r="D260" t="s">
        <v>546</v>
      </c>
      <c r="E260" t="s">
        <v>547</v>
      </c>
      <c r="F260">
        <f>_xlfn.XLOOKUP(Orders4[[#This Row],[Order ID]],Details!$A:$A, Details!$B:$B)</f>
        <v>724</v>
      </c>
      <c r="G260">
        <f>_xlfn.XLOOKUP(Orders4[[#This Row],[Order ID]],Details!$A:$A,Details!C:C)</f>
        <v>253</v>
      </c>
      <c r="H260">
        <f>_xlfn.XLOOKUP(Orders4[[#This Row],[Order ID]],Details!$A:$A,Details!$D:$D)</f>
        <v>2</v>
      </c>
      <c r="I260" t="str">
        <f>_xlfn.XLOOKUP(Orders4[[#This Row],[Order ID]],Details!A:A,Details!$E:$E)</f>
        <v>Furniture</v>
      </c>
      <c r="J260" t="str">
        <f>_xlfn.XLOOKUP(Orders4[[#This Row],[Order ID]],Details!$A:$A,Details!$F:$F)</f>
        <v>Bookcases</v>
      </c>
      <c r="K260" t="str">
        <f>_xlfn.XLOOKUP(Orders4[[#This Row],[Order ID]],Details!$A:$A,Details!$G:$G)</f>
        <v>UPI</v>
      </c>
      <c r="L260">
        <f>Orders4[[#This Row],[Amount]]/Orders4[[#This Row],[Quantity]]</f>
        <v>362</v>
      </c>
    </row>
    <row r="261" spans="1:12" x14ac:dyDescent="0.25">
      <c r="A261" t="s">
        <v>114</v>
      </c>
      <c r="B261" s="1">
        <v>43419</v>
      </c>
      <c r="C261" t="s">
        <v>773</v>
      </c>
      <c r="D261" t="s">
        <v>612</v>
      </c>
      <c r="E261" t="s">
        <v>613</v>
      </c>
      <c r="F261">
        <f>_xlfn.XLOOKUP(Orders4[[#This Row],[Order ID]],Details!$A:$A, Details!$B:$B)</f>
        <v>112</v>
      </c>
      <c r="G261">
        <f>_xlfn.XLOOKUP(Orders4[[#This Row],[Order ID]],Details!$A:$A,Details!C:C)</f>
        <v>24</v>
      </c>
      <c r="H261">
        <f>_xlfn.XLOOKUP(Orders4[[#This Row],[Order ID]],Details!$A:$A,Details!$D:$D)</f>
        <v>3</v>
      </c>
      <c r="I261" t="str">
        <f>_xlfn.XLOOKUP(Orders4[[#This Row],[Order ID]],Details!A:A,Details!$E:$E)</f>
        <v>Clothing</v>
      </c>
      <c r="J261" t="str">
        <f>_xlfn.XLOOKUP(Orders4[[#This Row],[Order ID]],Details!$A:$A,Details!$F:$F)</f>
        <v>Kurti</v>
      </c>
      <c r="K261" t="str">
        <f>_xlfn.XLOOKUP(Orders4[[#This Row],[Order ID]],Details!$A:$A,Details!$G:$G)</f>
        <v>COD</v>
      </c>
      <c r="L261">
        <f>Orders4[[#This Row],[Amount]]/Orders4[[#This Row],[Quantity]]</f>
        <v>37.333333333333336</v>
      </c>
    </row>
    <row r="262" spans="1:12" x14ac:dyDescent="0.25">
      <c r="A262" t="s">
        <v>271</v>
      </c>
      <c r="B262" s="1">
        <v>43419</v>
      </c>
      <c r="C262" t="s">
        <v>793</v>
      </c>
      <c r="D262" t="s">
        <v>537</v>
      </c>
      <c r="E262" t="s">
        <v>607</v>
      </c>
      <c r="F262">
        <f>_xlfn.XLOOKUP(Orders4[[#This Row],[Order ID]],Details!$A:$A, Details!$B:$B)</f>
        <v>44</v>
      </c>
      <c r="G262">
        <f>_xlfn.XLOOKUP(Orders4[[#This Row],[Order ID]],Details!$A:$A,Details!C:C)</f>
        <v>14</v>
      </c>
      <c r="H262">
        <f>_xlfn.XLOOKUP(Orders4[[#This Row],[Order ID]],Details!$A:$A,Details!$D:$D)</f>
        <v>3</v>
      </c>
      <c r="I262" t="str">
        <f>_xlfn.XLOOKUP(Orders4[[#This Row],[Order ID]],Details!A:A,Details!$E:$E)</f>
        <v>Clothing</v>
      </c>
      <c r="J262" t="str">
        <f>_xlfn.XLOOKUP(Orders4[[#This Row],[Order ID]],Details!$A:$A,Details!$F:$F)</f>
        <v>Hankerchief</v>
      </c>
      <c r="K262" t="str">
        <f>_xlfn.XLOOKUP(Orders4[[#This Row],[Order ID]],Details!$A:$A,Details!$G:$G)</f>
        <v>Debit Card</v>
      </c>
      <c r="L262">
        <f>Orders4[[#This Row],[Amount]]/Orders4[[#This Row],[Quantity]]</f>
        <v>14.666666666666666</v>
      </c>
    </row>
    <row r="263" spans="1:12" x14ac:dyDescent="0.25">
      <c r="A263" t="s">
        <v>395</v>
      </c>
      <c r="B263" s="1">
        <v>43419</v>
      </c>
      <c r="C263" t="s">
        <v>567</v>
      </c>
      <c r="D263" t="s">
        <v>568</v>
      </c>
      <c r="E263" t="s">
        <v>569</v>
      </c>
      <c r="F263">
        <f>_xlfn.XLOOKUP(Orders4[[#This Row],[Order ID]],Details!$A:$A, Details!$B:$B)</f>
        <v>121</v>
      </c>
      <c r="G263">
        <f>_xlfn.XLOOKUP(Orders4[[#This Row],[Order ID]],Details!$A:$A,Details!C:C)</f>
        <v>41</v>
      </c>
      <c r="H263">
        <f>_xlfn.XLOOKUP(Orders4[[#This Row],[Order ID]],Details!$A:$A,Details!$D:$D)</f>
        <v>4</v>
      </c>
      <c r="I263" t="str">
        <f>_xlfn.XLOOKUP(Orders4[[#This Row],[Order ID]],Details!A:A,Details!$E:$E)</f>
        <v>Clothing</v>
      </c>
      <c r="J263" t="str">
        <f>_xlfn.XLOOKUP(Orders4[[#This Row],[Order ID]],Details!$A:$A,Details!$F:$F)</f>
        <v>Stole</v>
      </c>
      <c r="K263" t="str">
        <f>_xlfn.XLOOKUP(Orders4[[#This Row],[Order ID]],Details!$A:$A,Details!$G:$G)</f>
        <v>EMI</v>
      </c>
      <c r="L263">
        <f>Orders4[[#This Row],[Amount]]/Orders4[[#This Row],[Quantity]]</f>
        <v>30.25</v>
      </c>
    </row>
    <row r="264" spans="1:12" x14ac:dyDescent="0.25">
      <c r="A264" t="s">
        <v>312</v>
      </c>
      <c r="B264" s="1">
        <v>43419</v>
      </c>
      <c r="C264" t="s">
        <v>806</v>
      </c>
      <c r="D264" t="s">
        <v>580</v>
      </c>
      <c r="E264" t="s">
        <v>581</v>
      </c>
      <c r="F264">
        <f>_xlfn.XLOOKUP(Orders4[[#This Row],[Order ID]],Details!$A:$A, Details!$B:$B)</f>
        <v>189</v>
      </c>
      <c r="G264">
        <f>_xlfn.XLOOKUP(Orders4[[#This Row],[Order ID]],Details!$A:$A,Details!C:C)</f>
        <v>87</v>
      </c>
      <c r="H264">
        <f>_xlfn.XLOOKUP(Orders4[[#This Row],[Order ID]],Details!$A:$A,Details!$D:$D)</f>
        <v>7</v>
      </c>
      <c r="I264" t="str">
        <f>_xlfn.XLOOKUP(Orders4[[#This Row],[Order ID]],Details!A:A,Details!$E:$E)</f>
        <v>Clothing</v>
      </c>
      <c r="J264" t="str">
        <f>_xlfn.XLOOKUP(Orders4[[#This Row],[Order ID]],Details!$A:$A,Details!$F:$F)</f>
        <v>Stole</v>
      </c>
      <c r="K264" t="str">
        <f>_xlfn.XLOOKUP(Orders4[[#This Row],[Order ID]],Details!$A:$A,Details!$G:$G)</f>
        <v>COD</v>
      </c>
      <c r="L264">
        <f>Orders4[[#This Row],[Amount]]/Orders4[[#This Row],[Quantity]]</f>
        <v>27</v>
      </c>
    </row>
    <row r="265" spans="1:12" x14ac:dyDescent="0.25">
      <c r="A265" t="s">
        <v>382</v>
      </c>
      <c r="B265" s="1">
        <v>43419</v>
      </c>
      <c r="C265" t="s">
        <v>858</v>
      </c>
      <c r="D265" t="s">
        <v>543</v>
      </c>
      <c r="E265" t="s">
        <v>544</v>
      </c>
      <c r="F265">
        <f>_xlfn.XLOOKUP(Orders4[[#This Row],[Order ID]],Details!$A:$A, Details!$B:$B)</f>
        <v>100</v>
      </c>
      <c r="G265">
        <f>_xlfn.XLOOKUP(Orders4[[#This Row],[Order ID]],Details!$A:$A,Details!C:C)</f>
        <v>6</v>
      </c>
      <c r="H265">
        <f>_xlfn.XLOOKUP(Orders4[[#This Row],[Order ID]],Details!$A:$A,Details!$D:$D)</f>
        <v>4</v>
      </c>
      <c r="I265" t="str">
        <f>_xlfn.XLOOKUP(Orders4[[#This Row],[Order ID]],Details!A:A,Details!$E:$E)</f>
        <v>Clothing</v>
      </c>
      <c r="J265" t="str">
        <f>_xlfn.XLOOKUP(Orders4[[#This Row],[Order ID]],Details!$A:$A,Details!$F:$F)</f>
        <v>Stole</v>
      </c>
      <c r="K265" t="str">
        <f>_xlfn.XLOOKUP(Orders4[[#This Row],[Order ID]],Details!$A:$A,Details!$G:$G)</f>
        <v>COD</v>
      </c>
      <c r="L265">
        <f>Orders4[[#This Row],[Amount]]/Orders4[[#This Row],[Quantity]]</f>
        <v>25</v>
      </c>
    </row>
    <row r="266" spans="1:12" x14ac:dyDescent="0.25">
      <c r="A266" t="s">
        <v>445</v>
      </c>
      <c r="B266" s="1">
        <v>43419</v>
      </c>
      <c r="C266" t="s">
        <v>868</v>
      </c>
      <c r="D266" t="s">
        <v>546</v>
      </c>
      <c r="E266" t="s">
        <v>547</v>
      </c>
      <c r="F266">
        <f>_xlfn.XLOOKUP(Orders4[[#This Row],[Order ID]],Details!$A:$A, Details!$B:$B)</f>
        <v>85</v>
      </c>
      <c r="G266">
        <f>_xlfn.XLOOKUP(Orders4[[#This Row],[Order ID]],Details!$A:$A,Details!C:C)</f>
        <v>-1</v>
      </c>
      <c r="H266">
        <f>_xlfn.XLOOKUP(Orders4[[#This Row],[Order ID]],Details!$A:$A,Details!$D:$D)</f>
        <v>3</v>
      </c>
      <c r="I266" t="str">
        <f>_xlfn.XLOOKUP(Orders4[[#This Row],[Order ID]],Details!A:A,Details!$E:$E)</f>
        <v>Clothing</v>
      </c>
      <c r="J266" t="str">
        <f>_xlfn.XLOOKUP(Orders4[[#This Row],[Order ID]],Details!$A:$A,Details!$F:$F)</f>
        <v>Saree</v>
      </c>
      <c r="K266" t="str">
        <f>_xlfn.XLOOKUP(Orders4[[#This Row],[Order ID]],Details!$A:$A,Details!$G:$G)</f>
        <v>Credit Card</v>
      </c>
      <c r="L266">
        <f>Orders4[[#This Row],[Amount]]/Orders4[[#This Row],[Quantity]]</f>
        <v>28.333333333333332</v>
      </c>
    </row>
    <row r="267" spans="1:12" x14ac:dyDescent="0.25">
      <c r="A267" t="s">
        <v>459</v>
      </c>
      <c r="B267" s="1">
        <v>43420</v>
      </c>
      <c r="C267" t="s">
        <v>779</v>
      </c>
      <c r="D267" t="s">
        <v>571</v>
      </c>
      <c r="E267" t="s">
        <v>572</v>
      </c>
      <c r="F267">
        <f>_xlfn.XLOOKUP(Orders4[[#This Row],[Order ID]],Details!$A:$A, Details!$B:$B)</f>
        <v>51</v>
      </c>
      <c r="G267">
        <f>_xlfn.XLOOKUP(Orders4[[#This Row],[Order ID]],Details!$A:$A,Details!C:C)</f>
        <v>14</v>
      </c>
      <c r="H267">
        <f>_xlfn.XLOOKUP(Orders4[[#This Row],[Order ID]],Details!$A:$A,Details!$D:$D)</f>
        <v>2</v>
      </c>
      <c r="I267" t="str">
        <f>_xlfn.XLOOKUP(Orders4[[#This Row],[Order ID]],Details!A:A,Details!$E:$E)</f>
        <v>Clothing</v>
      </c>
      <c r="J267" t="str">
        <f>_xlfn.XLOOKUP(Orders4[[#This Row],[Order ID]],Details!$A:$A,Details!$F:$F)</f>
        <v>Stole</v>
      </c>
      <c r="K267" t="str">
        <f>_xlfn.XLOOKUP(Orders4[[#This Row],[Order ID]],Details!$A:$A,Details!$G:$G)</f>
        <v>COD</v>
      </c>
      <c r="L267">
        <f>Orders4[[#This Row],[Amount]]/Orders4[[#This Row],[Quantity]]</f>
        <v>25.5</v>
      </c>
    </row>
    <row r="268" spans="1:12" x14ac:dyDescent="0.25">
      <c r="A268" t="s">
        <v>188</v>
      </c>
      <c r="B268" s="1">
        <v>43421</v>
      </c>
      <c r="C268" t="s">
        <v>649</v>
      </c>
      <c r="D268" t="s">
        <v>697</v>
      </c>
      <c r="E268" t="s">
        <v>698</v>
      </c>
      <c r="F268">
        <f>_xlfn.XLOOKUP(Orders4[[#This Row],[Order ID]],Details!$A:$A, Details!$B:$B)</f>
        <v>240</v>
      </c>
      <c r="G268">
        <f>_xlfn.XLOOKUP(Orders4[[#This Row],[Order ID]],Details!$A:$A,Details!C:C)</f>
        <v>12</v>
      </c>
      <c r="H268">
        <f>_xlfn.XLOOKUP(Orders4[[#This Row],[Order ID]],Details!$A:$A,Details!$D:$D)</f>
        <v>6</v>
      </c>
      <c r="I268" t="str">
        <f>_xlfn.XLOOKUP(Orders4[[#This Row],[Order ID]],Details!A:A,Details!$E:$E)</f>
        <v>Clothing</v>
      </c>
      <c r="J268" t="str">
        <f>_xlfn.XLOOKUP(Orders4[[#This Row],[Order ID]],Details!$A:$A,Details!$F:$F)</f>
        <v>Kurti</v>
      </c>
      <c r="K268" t="str">
        <f>_xlfn.XLOOKUP(Orders4[[#This Row],[Order ID]],Details!$A:$A,Details!$G:$G)</f>
        <v>UPI</v>
      </c>
      <c r="L268">
        <f>Orders4[[#This Row],[Amount]]/Orders4[[#This Row],[Quantity]]</f>
        <v>40</v>
      </c>
    </row>
    <row r="269" spans="1:12" x14ac:dyDescent="0.25">
      <c r="A269" t="s">
        <v>84</v>
      </c>
      <c r="B269" s="1">
        <v>43422</v>
      </c>
      <c r="C269" t="s">
        <v>646</v>
      </c>
      <c r="D269" t="s">
        <v>647</v>
      </c>
      <c r="E269" t="s">
        <v>647</v>
      </c>
      <c r="F269">
        <f>_xlfn.XLOOKUP(Orders4[[#This Row],[Order ID]],Details!$A:$A, Details!$B:$B)</f>
        <v>1118</v>
      </c>
      <c r="G269">
        <f>_xlfn.XLOOKUP(Orders4[[#This Row],[Order ID]],Details!$A:$A,Details!C:C)</f>
        <v>206</v>
      </c>
      <c r="H269">
        <f>_xlfn.XLOOKUP(Orders4[[#This Row],[Order ID]],Details!$A:$A,Details!$D:$D)</f>
        <v>2</v>
      </c>
      <c r="I269" t="str">
        <f>_xlfn.XLOOKUP(Orders4[[#This Row],[Order ID]],Details!A:A,Details!$E:$E)</f>
        <v>Furniture</v>
      </c>
      <c r="J269" t="str">
        <f>_xlfn.XLOOKUP(Orders4[[#This Row],[Order ID]],Details!$A:$A,Details!$F:$F)</f>
        <v>Tables</v>
      </c>
      <c r="K269" t="str">
        <f>_xlfn.XLOOKUP(Orders4[[#This Row],[Order ID]],Details!$A:$A,Details!$G:$G)</f>
        <v>Credit Card</v>
      </c>
      <c r="L269">
        <f>Orders4[[#This Row],[Amount]]/Orders4[[#This Row],[Quantity]]</f>
        <v>559</v>
      </c>
    </row>
    <row r="270" spans="1:12" x14ac:dyDescent="0.25">
      <c r="A270" t="s">
        <v>402</v>
      </c>
      <c r="B270" s="1">
        <v>43423</v>
      </c>
      <c r="C270" t="s">
        <v>867</v>
      </c>
      <c r="D270" t="s">
        <v>584</v>
      </c>
      <c r="E270" t="s">
        <v>585</v>
      </c>
      <c r="F270">
        <f>_xlfn.XLOOKUP(Orders4[[#This Row],[Order ID]],Details!$A:$A, Details!$B:$B)</f>
        <v>86</v>
      </c>
      <c r="G270">
        <f>_xlfn.XLOOKUP(Orders4[[#This Row],[Order ID]],Details!$A:$A,Details!C:C)</f>
        <v>9</v>
      </c>
      <c r="H270">
        <f>_xlfn.XLOOKUP(Orders4[[#This Row],[Order ID]],Details!$A:$A,Details!$D:$D)</f>
        <v>3</v>
      </c>
      <c r="I270" t="str">
        <f>_xlfn.XLOOKUP(Orders4[[#This Row],[Order ID]],Details!A:A,Details!$E:$E)</f>
        <v>Clothing</v>
      </c>
      <c r="J270" t="str">
        <f>_xlfn.XLOOKUP(Orders4[[#This Row],[Order ID]],Details!$A:$A,Details!$F:$F)</f>
        <v>Saree</v>
      </c>
      <c r="K270" t="str">
        <f>_xlfn.XLOOKUP(Orders4[[#This Row],[Order ID]],Details!$A:$A,Details!$G:$G)</f>
        <v>COD</v>
      </c>
      <c r="L270">
        <f>Orders4[[#This Row],[Amount]]/Orders4[[#This Row],[Quantity]]</f>
        <v>28.666666666666668</v>
      </c>
    </row>
    <row r="271" spans="1:12" x14ac:dyDescent="0.25">
      <c r="A271" t="s">
        <v>170</v>
      </c>
      <c r="B271" s="1">
        <v>43424</v>
      </c>
      <c r="C271" t="s">
        <v>673</v>
      </c>
      <c r="D271" t="s">
        <v>554</v>
      </c>
      <c r="E271" t="s">
        <v>555</v>
      </c>
      <c r="F271">
        <f>_xlfn.XLOOKUP(Orders4[[#This Row],[Order ID]],Details!$A:$A, Details!$B:$B)</f>
        <v>845</v>
      </c>
      <c r="G271">
        <f>_xlfn.XLOOKUP(Orders4[[#This Row],[Order ID]],Details!$A:$A,Details!C:C)</f>
        <v>84</v>
      </c>
      <c r="H271">
        <f>_xlfn.XLOOKUP(Orders4[[#This Row],[Order ID]],Details!$A:$A,Details!$D:$D)</f>
        <v>7</v>
      </c>
      <c r="I271" t="str">
        <f>_xlfn.XLOOKUP(Orders4[[#This Row],[Order ID]],Details!A:A,Details!$E:$E)</f>
        <v>Clothing</v>
      </c>
      <c r="J271" t="str">
        <f>_xlfn.XLOOKUP(Orders4[[#This Row],[Order ID]],Details!$A:$A,Details!$F:$F)</f>
        <v>Saree</v>
      </c>
      <c r="K271" t="str">
        <f>_xlfn.XLOOKUP(Orders4[[#This Row],[Order ID]],Details!$A:$A,Details!$G:$G)</f>
        <v>Credit Card</v>
      </c>
      <c r="L271">
        <f>Orders4[[#This Row],[Amount]]/Orders4[[#This Row],[Quantity]]</f>
        <v>120.71428571428571</v>
      </c>
    </row>
    <row r="272" spans="1:12" x14ac:dyDescent="0.25">
      <c r="A272" t="s">
        <v>422</v>
      </c>
      <c r="B272" s="1">
        <v>43425</v>
      </c>
      <c r="C272" t="s">
        <v>848</v>
      </c>
      <c r="D272" t="s">
        <v>559</v>
      </c>
      <c r="E272" t="s">
        <v>560</v>
      </c>
      <c r="F272">
        <f>_xlfn.XLOOKUP(Orders4[[#This Row],[Order ID]],Details!$A:$A, Details!$B:$B)</f>
        <v>118</v>
      </c>
      <c r="G272">
        <f>_xlfn.XLOOKUP(Orders4[[#This Row],[Order ID]],Details!$A:$A,Details!C:C)</f>
        <v>25</v>
      </c>
      <c r="H272">
        <f>_xlfn.XLOOKUP(Orders4[[#This Row],[Order ID]],Details!$A:$A,Details!$D:$D)</f>
        <v>4</v>
      </c>
      <c r="I272" t="str">
        <f>_xlfn.XLOOKUP(Orders4[[#This Row],[Order ID]],Details!A:A,Details!$E:$E)</f>
        <v>Clothing</v>
      </c>
      <c r="J272" t="str">
        <f>_xlfn.XLOOKUP(Orders4[[#This Row],[Order ID]],Details!$A:$A,Details!$F:$F)</f>
        <v>Hankerchief</v>
      </c>
      <c r="K272" t="str">
        <f>_xlfn.XLOOKUP(Orders4[[#This Row],[Order ID]],Details!$A:$A,Details!$G:$G)</f>
        <v>Credit Card</v>
      </c>
      <c r="L272">
        <f>Orders4[[#This Row],[Amount]]/Orders4[[#This Row],[Quantity]]</f>
        <v>29.5</v>
      </c>
    </row>
    <row r="273" spans="1:12" x14ac:dyDescent="0.25">
      <c r="A273" t="s">
        <v>304</v>
      </c>
      <c r="B273" s="1">
        <v>43426</v>
      </c>
      <c r="C273" t="s">
        <v>830</v>
      </c>
      <c r="D273" t="s">
        <v>543</v>
      </c>
      <c r="E273" t="s">
        <v>544</v>
      </c>
      <c r="F273">
        <f>_xlfn.XLOOKUP(Orders4[[#This Row],[Order ID]],Details!$A:$A, Details!$B:$B)</f>
        <v>57</v>
      </c>
      <c r="G273">
        <f>_xlfn.XLOOKUP(Orders4[[#This Row],[Order ID]],Details!$A:$A,Details!C:C)</f>
        <v>27</v>
      </c>
      <c r="H273">
        <f>_xlfn.XLOOKUP(Orders4[[#This Row],[Order ID]],Details!$A:$A,Details!$D:$D)</f>
        <v>2</v>
      </c>
      <c r="I273" t="str">
        <f>_xlfn.XLOOKUP(Orders4[[#This Row],[Order ID]],Details!A:A,Details!$E:$E)</f>
        <v>Clothing</v>
      </c>
      <c r="J273" t="str">
        <f>_xlfn.XLOOKUP(Orders4[[#This Row],[Order ID]],Details!$A:$A,Details!$F:$F)</f>
        <v>Shirt</v>
      </c>
      <c r="K273" t="str">
        <f>_xlfn.XLOOKUP(Orders4[[#This Row],[Order ID]],Details!$A:$A,Details!$G:$G)</f>
        <v>COD</v>
      </c>
      <c r="L273">
        <f>Orders4[[#This Row],[Amount]]/Orders4[[#This Row],[Quantity]]</f>
        <v>28.5</v>
      </c>
    </row>
    <row r="274" spans="1:12" x14ac:dyDescent="0.25">
      <c r="A274" t="s">
        <v>186</v>
      </c>
      <c r="B274" s="1">
        <v>43427</v>
      </c>
      <c r="C274" t="s">
        <v>631</v>
      </c>
      <c r="D274" t="s">
        <v>546</v>
      </c>
      <c r="E274" t="s">
        <v>547</v>
      </c>
      <c r="F274">
        <f>_xlfn.XLOOKUP(Orders4[[#This Row],[Order ID]],Details!$A:$A, Details!$B:$B)</f>
        <v>42</v>
      </c>
      <c r="G274">
        <f>_xlfn.XLOOKUP(Orders4[[#This Row],[Order ID]],Details!$A:$A,Details!C:C)</f>
        <v>12</v>
      </c>
      <c r="H274">
        <f>_xlfn.XLOOKUP(Orders4[[#This Row],[Order ID]],Details!$A:$A,Details!$D:$D)</f>
        <v>2</v>
      </c>
      <c r="I274" t="str">
        <f>_xlfn.XLOOKUP(Orders4[[#This Row],[Order ID]],Details!A:A,Details!$E:$E)</f>
        <v>Clothing</v>
      </c>
      <c r="J274" t="str">
        <f>_xlfn.XLOOKUP(Orders4[[#This Row],[Order ID]],Details!$A:$A,Details!$F:$F)</f>
        <v>Kurti</v>
      </c>
      <c r="K274" t="str">
        <f>_xlfn.XLOOKUP(Orders4[[#This Row],[Order ID]],Details!$A:$A,Details!$G:$G)</f>
        <v>COD</v>
      </c>
      <c r="L274">
        <f>Orders4[[#This Row],[Amount]]/Orders4[[#This Row],[Quantity]]</f>
        <v>21</v>
      </c>
    </row>
    <row r="275" spans="1:12" x14ac:dyDescent="0.25">
      <c r="A275" t="s">
        <v>358</v>
      </c>
      <c r="B275" s="1">
        <v>43428</v>
      </c>
      <c r="C275" t="s">
        <v>714</v>
      </c>
      <c r="D275" t="s">
        <v>595</v>
      </c>
      <c r="E275" t="s">
        <v>596</v>
      </c>
      <c r="F275">
        <f>_xlfn.XLOOKUP(Orders4[[#This Row],[Order ID]],Details!$A:$A, Details!$B:$B)</f>
        <v>124</v>
      </c>
      <c r="G275">
        <f>_xlfn.XLOOKUP(Orders4[[#This Row],[Order ID]],Details!$A:$A,Details!C:C)</f>
        <v>54</v>
      </c>
      <c r="H275">
        <f>_xlfn.XLOOKUP(Orders4[[#This Row],[Order ID]],Details!$A:$A,Details!$D:$D)</f>
        <v>5</v>
      </c>
      <c r="I275" t="str">
        <f>_xlfn.XLOOKUP(Orders4[[#This Row],[Order ID]],Details!A:A,Details!$E:$E)</f>
        <v>Clothing</v>
      </c>
      <c r="J275" t="str">
        <f>_xlfn.XLOOKUP(Orders4[[#This Row],[Order ID]],Details!$A:$A,Details!$F:$F)</f>
        <v>T-shirt</v>
      </c>
      <c r="K275" t="str">
        <f>_xlfn.XLOOKUP(Orders4[[#This Row],[Order ID]],Details!$A:$A,Details!$G:$G)</f>
        <v>COD</v>
      </c>
      <c r="L275">
        <f>Orders4[[#This Row],[Amount]]/Orders4[[#This Row],[Quantity]]</f>
        <v>24.8</v>
      </c>
    </row>
    <row r="276" spans="1:12" x14ac:dyDescent="0.25">
      <c r="A276" t="s">
        <v>315</v>
      </c>
      <c r="B276" s="1">
        <v>43428</v>
      </c>
      <c r="C276" t="s">
        <v>788</v>
      </c>
      <c r="D276" t="s">
        <v>537</v>
      </c>
      <c r="E276" t="s">
        <v>549</v>
      </c>
      <c r="F276">
        <f>_xlfn.XLOOKUP(Orders4[[#This Row],[Order ID]],Details!$A:$A, Details!$B:$B)</f>
        <v>248</v>
      </c>
      <c r="G276">
        <f>_xlfn.XLOOKUP(Orders4[[#This Row],[Order ID]],Details!$A:$A,Details!C:C)</f>
        <v>8</v>
      </c>
      <c r="H276">
        <f>_xlfn.XLOOKUP(Orders4[[#This Row],[Order ID]],Details!$A:$A,Details!$D:$D)</f>
        <v>2</v>
      </c>
      <c r="I276" t="str">
        <f>_xlfn.XLOOKUP(Orders4[[#This Row],[Order ID]],Details!A:A,Details!$E:$E)</f>
        <v>Clothing</v>
      </c>
      <c r="J276" t="str">
        <f>_xlfn.XLOOKUP(Orders4[[#This Row],[Order ID]],Details!$A:$A,Details!$F:$F)</f>
        <v>Saree</v>
      </c>
      <c r="K276" t="str">
        <f>_xlfn.XLOOKUP(Orders4[[#This Row],[Order ID]],Details!$A:$A,Details!$G:$G)</f>
        <v>Credit Card</v>
      </c>
      <c r="L276">
        <f>Orders4[[#This Row],[Amount]]/Orders4[[#This Row],[Quantity]]</f>
        <v>124</v>
      </c>
    </row>
    <row r="277" spans="1:12" x14ac:dyDescent="0.25">
      <c r="A277" t="s">
        <v>472</v>
      </c>
      <c r="B277" s="1">
        <v>43428</v>
      </c>
      <c r="C277" t="s">
        <v>780</v>
      </c>
      <c r="D277" t="s">
        <v>575</v>
      </c>
      <c r="E277" t="s">
        <v>638</v>
      </c>
      <c r="F277">
        <f>_xlfn.XLOOKUP(Orders4[[#This Row],[Order ID]],Details!$A:$A, Details!$B:$B)</f>
        <v>282</v>
      </c>
      <c r="G277">
        <f>_xlfn.XLOOKUP(Orders4[[#This Row],[Order ID]],Details!$A:$A,Details!C:C)</f>
        <v>14</v>
      </c>
      <c r="H277">
        <f>_xlfn.XLOOKUP(Orders4[[#This Row],[Order ID]],Details!$A:$A,Details!$D:$D)</f>
        <v>4</v>
      </c>
      <c r="I277" t="str">
        <f>_xlfn.XLOOKUP(Orders4[[#This Row],[Order ID]],Details!A:A,Details!$E:$E)</f>
        <v>Clothing</v>
      </c>
      <c r="J277" t="str">
        <f>_xlfn.XLOOKUP(Orders4[[#This Row],[Order ID]],Details!$A:$A,Details!$F:$F)</f>
        <v>Trousers</v>
      </c>
      <c r="K277" t="str">
        <f>_xlfn.XLOOKUP(Orders4[[#This Row],[Order ID]],Details!$A:$A,Details!$G:$G)</f>
        <v>Debit Card</v>
      </c>
      <c r="L277">
        <f>Orders4[[#This Row],[Amount]]/Orders4[[#This Row],[Quantity]]</f>
        <v>70.5</v>
      </c>
    </row>
    <row r="278" spans="1:12" x14ac:dyDescent="0.25">
      <c r="A278" t="s">
        <v>196</v>
      </c>
      <c r="B278" s="1">
        <v>43428</v>
      </c>
      <c r="C278" t="s">
        <v>643</v>
      </c>
      <c r="D278" t="s">
        <v>559</v>
      </c>
      <c r="E278" t="s">
        <v>560</v>
      </c>
      <c r="F278">
        <f>_xlfn.XLOOKUP(Orders4[[#This Row],[Order ID]],Details!$A:$A, Details!$B:$B)</f>
        <v>24</v>
      </c>
      <c r="G278">
        <f>_xlfn.XLOOKUP(Orders4[[#This Row],[Order ID]],Details!$A:$A,Details!C:C)</f>
        <v>8</v>
      </c>
      <c r="H278">
        <f>_xlfn.XLOOKUP(Orders4[[#This Row],[Order ID]],Details!$A:$A,Details!$D:$D)</f>
        <v>2</v>
      </c>
      <c r="I278" t="str">
        <f>_xlfn.XLOOKUP(Orders4[[#This Row],[Order ID]],Details!A:A,Details!$E:$E)</f>
        <v>Clothing</v>
      </c>
      <c r="J278" t="str">
        <f>_xlfn.XLOOKUP(Orders4[[#This Row],[Order ID]],Details!$A:$A,Details!$F:$F)</f>
        <v>Skirt</v>
      </c>
      <c r="K278" t="str">
        <f>_xlfn.XLOOKUP(Orders4[[#This Row],[Order ID]],Details!$A:$A,Details!$G:$G)</f>
        <v>Debit Card</v>
      </c>
      <c r="L278">
        <f>Orders4[[#This Row],[Amount]]/Orders4[[#This Row],[Quantity]]</f>
        <v>12</v>
      </c>
    </row>
    <row r="279" spans="1:12" x14ac:dyDescent="0.25">
      <c r="A279" t="s">
        <v>140</v>
      </c>
      <c r="B279" s="1">
        <v>43428</v>
      </c>
      <c r="C279" t="s">
        <v>691</v>
      </c>
      <c r="D279" t="s">
        <v>543</v>
      </c>
      <c r="E279" t="s">
        <v>544</v>
      </c>
      <c r="F279">
        <f>_xlfn.XLOOKUP(Orders4[[#This Row],[Order ID]],Details!$A:$A, Details!$B:$B)</f>
        <v>741</v>
      </c>
      <c r="G279">
        <f>_xlfn.XLOOKUP(Orders4[[#This Row],[Order ID]],Details!$A:$A,Details!C:C)</f>
        <v>267</v>
      </c>
      <c r="H279">
        <f>_xlfn.XLOOKUP(Orders4[[#This Row],[Order ID]],Details!$A:$A,Details!$D:$D)</f>
        <v>5</v>
      </c>
      <c r="I279" t="str">
        <f>_xlfn.XLOOKUP(Orders4[[#This Row],[Order ID]],Details!A:A,Details!$E:$E)</f>
        <v>Furniture</v>
      </c>
      <c r="J279" t="str">
        <f>_xlfn.XLOOKUP(Orders4[[#This Row],[Order ID]],Details!$A:$A,Details!$F:$F)</f>
        <v>Bookcases</v>
      </c>
      <c r="K279" t="str">
        <f>_xlfn.XLOOKUP(Orders4[[#This Row],[Order ID]],Details!$A:$A,Details!$G:$G)</f>
        <v>COD</v>
      </c>
      <c r="L279">
        <f>Orders4[[#This Row],[Amount]]/Orders4[[#This Row],[Quantity]]</f>
        <v>148.19999999999999</v>
      </c>
    </row>
    <row r="280" spans="1:12" x14ac:dyDescent="0.25">
      <c r="A280" t="s">
        <v>439</v>
      </c>
      <c r="B280" s="1">
        <v>43428</v>
      </c>
      <c r="C280" t="s">
        <v>609</v>
      </c>
      <c r="D280" t="s">
        <v>546</v>
      </c>
      <c r="E280" t="s">
        <v>547</v>
      </c>
      <c r="F280">
        <f>_xlfn.XLOOKUP(Orders4[[#This Row],[Order ID]],Details!$A:$A, Details!$B:$B)</f>
        <v>57</v>
      </c>
      <c r="G280">
        <f>_xlfn.XLOOKUP(Orders4[[#This Row],[Order ID]],Details!$A:$A,Details!C:C)</f>
        <v>-28</v>
      </c>
      <c r="H280">
        <f>_xlfn.XLOOKUP(Orders4[[#This Row],[Order ID]],Details!$A:$A,Details!$D:$D)</f>
        <v>2</v>
      </c>
      <c r="I280" t="str">
        <f>_xlfn.XLOOKUP(Orders4[[#This Row],[Order ID]],Details!A:A,Details!$E:$E)</f>
        <v>Clothing</v>
      </c>
      <c r="J280" t="str">
        <f>_xlfn.XLOOKUP(Orders4[[#This Row],[Order ID]],Details!$A:$A,Details!$F:$F)</f>
        <v>Kurti</v>
      </c>
      <c r="K280" t="str">
        <f>_xlfn.XLOOKUP(Orders4[[#This Row],[Order ID]],Details!$A:$A,Details!$G:$G)</f>
        <v>COD</v>
      </c>
      <c r="L280">
        <f>Orders4[[#This Row],[Amount]]/Orders4[[#This Row],[Quantity]]</f>
        <v>28.5</v>
      </c>
    </row>
    <row r="281" spans="1:12" x14ac:dyDescent="0.25">
      <c r="A281" t="s">
        <v>433</v>
      </c>
      <c r="B281" s="1">
        <v>43428</v>
      </c>
      <c r="C281" t="s">
        <v>853</v>
      </c>
      <c r="D281" t="s">
        <v>595</v>
      </c>
      <c r="E281" t="s">
        <v>596</v>
      </c>
      <c r="F281">
        <f>_xlfn.XLOOKUP(Orders4[[#This Row],[Order ID]],Details!$A:$A, Details!$B:$B)</f>
        <v>108</v>
      </c>
      <c r="G281">
        <f>_xlfn.XLOOKUP(Orders4[[#This Row],[Order ID]],Details!$A:$A,Details!C:C)</f>
        <v>37</v>
      </c>
      <c r="H281">
        <f>_xlfn.XLOOKUP(Orders4[[#This Row],[Order ID]],Details!$A:$A,Details!$D:$D)</f>
        <v>2</v>
      </c>
      <c r="I281" t="str">
        <f>_xlfn.XLOOKUP(Orders4[[#This Row],[Order ID]],Details!A:A,Details!$E:$E)</f>
        <v>Clothing</v>
      </c>
      <c r="J281" t="str">
        <f>_xlfn.XLOOKUP(Orders4[[#This Row],[Order ID]],Details!$A:$A,Details!$F:$F)</f>
        <v>Stole</v>
      </c>
      <c r="K281" t="str">
        <f>_xlfn.XLOOKUP(Orders4[[#This Row],[Order ID]],Details!$A:$A,Details!$G:$G)</f>
        <v>Credit Card</v>
      </c>
      <c r="L281">
        <f>Orders4[[#This Row],[Amount]]/Orders4[[#This Row],[Quantity]]</f>
        <v>54</v>
      </c>
    </row>
    <row r="282" spans="1:12" x14ac:dyDescent="0.25">
      <c r="A282" t="s">
        <v>22</v>
      </c>
      <c r="B282" s="1">
        <v>43429</v>
      </c>
      <c r="C282" t="s">
        <v>563</v>
      </c>
      <c r="D282" t="s">
        <v>537</v>
      </c>
      <c r="E282" t="s">
        <v>538</v>
      </c>
      <c r="F282">
        <f>_xlfn.XLOOKUP(Orders4[[#This Row],[Order ID]],Details!$A:$A, Details!$B:$B)</f>
        <v>2244</v>
      </c>
      <c r="G282">
        <f>_xlfn.XLOOKUP(Orders4[[#This Row],[Order ID]],Details!$A:$A,Details!C:C)</f>
        <v>247</v>
      </c>
      <c r="H282">
        <f>_xlfn.XLOOKUP(Orders4[[#This Row],[Order ID]],Details!$A:$A,Details!$D:$D)</f>
        <v>4</v>
      </c>
      <c r="I282" t="str">
        <f>_xlfn.XLOOKUP(Orders4[[#This Row],[Order ID]],Details!A:A,Details!$E:$E)</f>
        <v>Clothing</v>
      </c>
      <c r="J282" t="str">
        <f>_xlfn.XLOOKUP(Orders4[[#This Row],[Order ID]],Details!$A:$A,Details!$F:$F)</f>
        <v>Trousers</v>
      </c>
      <c r="K282" t="str">
        <f>_xlfn.XLOOKUP(Orders4[[#This Row],[Order ID]],Details!$A:$A,Details!$G:$G)</f>
        <v>Credit Card</v>
      </c>
      <c r="L282">
        <f>Orders4[[#This Row],[Amount]]/Orders4[[#This Row],[Quantity]]</f>
        <v>561</v>
      </c>
    </row>
    <row r="283" spans="1:12" x14ac:dyDescent="0.25">
      <c r="A283" t="s">
        <v>360</v>
      </c>
      <c r="B283" s="1">
        <v>43430</v>
      </c>
      <c r="C283" t="s">
        <v>845</v>
      </c>
      <c r="D283" t="s">
        <v>575</v>
      </c>
      <c r="E283" t="s">
        <v>638</v>
      </c>
      <c r="F283">
        <f>_xlfn.XLOOKUP(Orders4[[#This Row],[Order ID]],Details!$A:$A, Details!$B:$B)</f>
        <v>121</v>
      </c>
      <c r="G283">
        <f>_xlfn.XLOOKUP(Orders4[[#This Row],[Order ID]],Details!$A:$A,Details!C:C)</f>
        <v>19</v>
      </c>
      <c r="H283">
        <f>_xlfn.XLOOKUP(Orders4[[#This Row],[Order ID]],Details!$A:$A,Details!$D:$D)</f>
        <v>4</v>
      </c>
      <c r="I283" t="str">
        <f>_xlfn.XLOOKUP(Orders4[[#This Row],[Order ID]],Details!A:A,Details!$E:$E)</f>
        <v>Clothing</v>
      </c>
      <c r="J283" t="str">
        <f>_xlfn.XLOOKUP(Orders4[[#This Row],[Order ID]],Details!$A:$A,Details!$F:$F)</f>
        <v>Stole</v>
      </c>
      <c r="K283" t="str">
        <f>_xlfn.XLOOKUP(Orders4[[#This Row],[Order ID]],Details!$A:$A,Details!$G:$G)</f>
        <v>COD</v>
      </c>
      <c r="L283">
        <f>Orders4[[#This Row],[Amount]]/Orders4[[#This Row],[Quantity]]</f>
        <v>30.25</v>
      </c>
    </row>
    <row r="284" spans="1:12" x14ac:dyDescent="0.25">
      <c r="A284" t="s">
        <v>59</v>
      </c>
      <c r="B284" s="1">
        <v>43431</v>
      </c>
      <c r="C284" t="s">
        <v>829</v>
      </c>
      <c r="D284" t="s">
        <v>559</v>
      </c>
      <c r="E284" t="s">
        <v>560</v>
      </c>
      <c r="F284">
        <f>_xlfn.XLOOKUP(Orders4[[#This Row],[Order ID]],Details!$A:$A, Details!$B:$B)</f>
        <v>16</v>
      </c>
      <c r="G284">
        <f>_xlfn.XLOOKUP(Orders4[[#This Row],[Order ID]],Details!$A:$A,Details!C:C)</f>
        <v>-15</v>
      </c>
      <c r="H284">
        <f>_xlfn.XLOOKUP(Orders4[[#This Row],[Order ID]],Details!$A:$A,Details!$D:$D)</f>
        <v>4</v>
      </c>
      <c r="I284" t="str">
        <f>_xlfn.XLOOKUP(Orders4[[#This Row],[Order ID]],Details!A:A,Details!$E:$E)</f>
        <v>Clothing</v>
      </c>
      <c r="J284" t="str">
        <f>_xlfn.XLOOKUP(Orders4[[#This Row],[Order ID]],Details!$A:$A,Details!$F:$F)</f>
        <v>Hankerchief</v>
      </c>
      <c r="K284" t="str">
        <f>_xlfn.XLOOKUP(Orders4[[#This Row],[Order ID]],Details!$A:$A,Details!$G:$G)</f>
        <v>UPI</v>
      </c>
      <c r="L284">
        <f>Orders4[[#This Row],[Amount]]/Orders4[[#This Row],[Quantity]]</f>
        <v>4</v>
      </c>
    </row>
    <row r="285" spans="1:12" x14ac:dyDescent="0.25">
      <c r="A285" t="s">
        <v>511</v>
      </c>
      <c r="B285" s="1">
        <v>43432</v>
      </c>
      <c r="C285" t="s">
        <v>905</v>
      </c>
      <c r="D285" t="s">
        <v>543</v>
      </c>
      <c r="E285" t="s">
        <v>544</v>
      </c>
      <c r="F285">
        <f>_xlfn.XLOOKUP(Orders4[[#This Row],[Order ID]],Details!$A:$A, Details!$B:$B)</f>
        <v>24</v>
      </c>
      <c r="G285">
        <f>_xlfn.XLOOKUP(Orders4[[#This Row],[Order ID]],Details!$A:$A,Details!C:C)</f>
        <v>2</v>
      </c>
      <c r="H285">
        <f>_xlfn.XLOOKUP(Orders4[[#This Row],[Order ID]],Details!$A:$A,Details!$D:$D)</f>
        <v>4</v>
      </c>
      <c r="I285" t="str">
        <f>_xlfn.XLOOKUP(Orders4[[#This Row],[Order ID]],Details!A:A,Details!$E:$E)</f>
        <v>Clothing</v>
      </c>
      <c r="J285" t="str">
        <f>_xlfn.XLOOKUP(Orders4[[#This Row],[Order ID]],Details!$A:$A,Details!$F:$F)</f>
        <v>Hankerchief</v>
      </c>
      <c r="K285" t="str">
        <f>_xlfn.XLOOKUP(Orders4[[#This Row],[Order ID]],Details!$A:$A,Details!$G:$G)</f>
        <v>COD</v>
      </c>
      <c r="L285">
        <f>Orders4[[#This Row],[Amount]]/Orders4[[#This Row],[Quantity]]</f>
        <v>6</v>
      </c>
    </row>
    <row r="286" spans="1:12" x14ac:dyDescent="0.25">
      <c r="A286" t="s">
        <v>146</v>
      </c>
      <c r="B286" s="1">
        <v>43432</v>
      </c>
      <c r="C286" t="s">
        <v>693</v>
      </c>
      <c r="D286" t="s">
        <v>546</v>
      </c>
      <c r="E286" t="s">
        <v>547</v>
      </c>
      <c r="F286">
        <f>_xlfn.XLOOKUP(Orders4[[#This Row],[Order ID]],Details!$A:$A, Details!$B:$B)</f>
        <v>734</v>
      </c>
      <c r="G286">
        <f>_xlfn.XLOOKUP(Orders4[[#This Row],[Order ID]],Details!$A:$A,Details!C:C)</f>
        <v>248</v>
      </c>
      <c r="H286">
        <f>_xlfn.XLOOKUP(Orders4[[#This Row],[Order ID]],Details!$A:$A,Details!$D:$D)</f>
        <v>2</v>
      </c>
      <c r="I286" t="str">
        <f>_xlfn.XLOOKUP(Orders4[[#This Row],[Order ID]],Details!A:A,Details!$E:$E)</f>
        <v>Furniture</v>
      </c>
      <c r="J286" t="str">
        <f>_xlfn.XLOOKUP(Orders4[[#This Row],[Order ID]],Details!$A:$A,Details!$F:$F)</f>
        <v>Chairs</v>
      </c>
      <c r="K286" t="str">
        <f>_xlfn.XLOOKUP(Orders4[[#This Row],[Order ID]],Details!$A:$A,Details!$G:$G)</f>
        <v>COD</v>
      </c>
      <c r="L286">
        <f>Orders4[[#This Row],[Amount]]/Orders4[[#This Row],[Quantity]]</f>
        <v>367</v>
      </c>
    </row>
    <row r="287" spans="1:12" x14ac:dyDescent="0.25">
      <c r="A287" t="s">
        <v>184</v>
      </c>
      <c r="B287" s="1">
        <v>43432</v>
      </c>
      <c r="C287" t="s">
        <v>734</v>
      </c>
      <c r="D287" t="s">
        <v>595</v>
      </c>
      <c r="E287" t="s">
        <v>596</v>
      </c>
      <c r="F287">
        <f>_xlfn.XLOOKUP(Orders4[[#This Row],[Order ID]],Details!$A:$A, Details!$B:$B)</f>
        <v>502</v>
      </c>
      <c r="G287">
        <f>_xlfn.XLOOKUP(Orders4[[#This Row],[Order ID]],Details!$A:$A,Details!C:C)</f>
        <v>84</v>
      </c>
      <c r="H287">
        <f>_xlfn.XLOOKUP(Orders4[[#This Row],[Order ID]],Details!$A:$A,Details!$D:$D)</f>
        <v>4</v>
      </c>
      <c r="I287" t="str">
        <f>_xlfn.XLOOKUP(Orders4[[#This Row],[Order ID]],Details!A:A,Details!$E:$E)</f>
        <v>Electronics</v>
      </c>
      <c r="J287" t="str">
        <f>_xlfn.XLOOKUP(Orders4[[#This Row],[Order ID]],Details!$A:$A,Details!$F:$F)</f>
        <v>Phones</v>
      </c>
      <c r="K287" t="str">
        <f>_xlfn.XLOOKUP(Orders4[[#This Row],[Order ID]],Details!$A:$A,Details!$G:$G)</f>
        <v>COD</v>
      </c>
      <c r="L287">
        <f>Orders4[[#This Row],[Amount]]/Orders4[[#This Row],[Quantity]]</f>
        <v>125.5</v>
      </c>
    </row>
    <row r="288" spans="1:12" x14ac:dyDescent="0.25">
      <c r="A288" t="s">
        <v>34</v>
      </c>
      <c r="B288" s="1">
        <v>43435</v>
      </c>
      <c r="C288" t="s">
        <v>545</v>
      </c>
      <c r="D288" t="s">
        <v>537</v>
      </c>
      <c r="E288" t="s">
        <v>549</v>
      </c>
      <c r="F288">
        <f>_xlfn.XLOOKUP(Orders4[[#This Row],[Order ID]],Details!$A:$A, Details!$B:$B)</f>
        <v>2125</v>
      </c>
      <c r="G288">
        <f>_xlfn.XLOOKUP(Orders4[[#This Row],[Order ID]],Details!$A:$A,Details!C:C)</f>
        <v>-234</v>
      </c>
      <c r="H288">
        <f>_xlfn.XLOOKUP(Orders4[[#This Row],[Order ID]],Details!$A:$A,Details!$D:$D)</f>
        <v>6</v>
      </c>
      <c r="I288" t="str">
        <f>_xlfn.XLOOKUP(Orders4[[#This Row],[Order ID]],Details!A:A,Details!$E:$E)</f>
        <v>Electronics</v>
      </c>
      <c r="J288" t="str">
        <f>_xlfn.XLOOKUP(Orders4[[#This Row],[Order ID]],Details!$A:$A,Details!$F:$F)</f>
        <v>Printers</v>
      </c>
      <c r="K288" t="str">
        <f>_xlfn.XLOOKUP(Orders4[[#This Row],[Order ID]],Details!$A:$A,Details!$G:$G)</f>
        <v>EMI</v>
      </c>
      <c r="L288">
        <f>Orders4[[#This Row],[Amount]]/Orders4[[#This Row],[Quantity]]</f>
        <v>354.16666666666669</v>
      </c>
    </row>
    <row r="289" spans="1:12" x14ac:dyDescent="0.25">
      <c r="A289" t="s">
        <v>159</v>
      </c>
      <c r="B289" s="1">
        <v>43436</v>
      </c>
      <c r="C289" t="s">
        <v>564</v>
      </c>
      <c r="D289" t="s">
        <v>575</v>
      </c>
      <c r="E289" t="s">
        <v>638</v>
      </c>
      <c r="F289">
        <f>_xlfn.XLOOKUP(Orders4[[#This Row],[Order ID]],Details!$A:$A, Details!$B:$B)</f>
        <v>646</v>
      </c>
      <c r="G289">
        <f>_xlfn.XLOOKUP(Orders4[[#This Row],[Order ID]],Details!$A:$A,Details!C:C)</f>
        <v>-213</v>
      </c>
      <c r="H289">
        <f>_xlfn.XLOOKUP(Orders4[[#This Row],[Order ID]],Details!$A:$A,Details!$D:$D)</f>
        <v>3</v>
      </c>
      <c r="I289" t="str">
        <f>_xlfn.XLOOKUP(Orders4[[#This Row],[Order ID]],Details!A:A,Details!$E:$E)</f>
        <v>Electronics</v>
      </c>
      <c r="J289" t="str">
        <f>_xlfn.XLOOKUP(Orders4[[#This Row],[Order ID]],Details!$A:$A,Details!$F:$F)</f>
        <v>Electronic Games</v>
      </c>
      <c r="K289" t="str">
        <f>_xlfn.XLOOKUP(Orders4[[#This Row],[Order ID]],Details!$A:$A,Details!$G:$G)</f>
        <v>COD</v>
      </c>
      <c r="L289">
        <f>Orders4[[#This Row],[Amount]]/Orders4[[#This Row],[Quantity]]</f>
        <v>215.33333333333334</v>
      </c>
    </row>
    <row r="290" spans="1:12" x14ac:dyDescent="0.25">
      <c r="A290" t="s">
        <v>386</v>
      </c>
      <c r="B290" s="1">
        <v>43437</v>
      </c>
      <c r="C290" t="s">
        <v>663</v>
      </c>
      <c r="D290" t="s">
        <v>559</v>
      </c>
      <c r="E290" t="s">
        <v>560</v>
      </c>
      <c r="F290">
        <f>_xlfn.XLOOKUP(Orders4[[#This Row],[Order ID]],Details!$A:$A, Details!$B:$B)</f>
        <v>114</v>
      </c>
      <c r="G290">
        <f>_xlfn.XLOOKUP(Orders4[[#This Row],[Order ID]],Details!$A:$A,Details!C:C)</f>
        <v>11</v>
      </c>
      <c r="H290">
        <f>_xlfn.XLOOKUP(Orders4[[#This Row],[Order ID]],Details!$A:$A,Details!$D:$D)</f>
        <v>4</v>
      </c>
      <c r="I290" t="str">
        <f>_xlfn.XLOOKUP(Orders4[[#This Row],[Order ID]],Details!A:A,Details!$E:$E)</f>
        <v>Clothing</v>
      </c>
      <c r="J290" t="str">
        <f>_xlfn.XLOOKUP(Orders4[[#This Row],[Order ID]],Details!$A:$A,Details!$F:$F)</f>
        <v>T-shirt</v>
      </c>
      <c r="K290" t="str">
        <f>_xlfn.XLOOKUP(Orders4[[#This Row],[Order ID]],Details!$A:$A,Details!$G:$G)</f>
        <v>Debit Card</v>
      </c>
      <c r="L290">
        <f>Orders4[[#This Row],[Amount]]/Orders4[[#This Row],[Quantity]]</f>
        <v>28.5</v>
      </c>
    </row>
    <row r="291" spans="1:12" x14ac:dyDescent="0.25">
      <c r="A291" t="s">
        <v>522</v>
      </c>
      <c r="B291" s="1">
        <v>43438</v>
      </c>
      <c r="C291" t="s">
        <v>741</v>
      </c>
      <c r="D291" t="s">
        <v>543</v>
      </c>
      <c r="E291" t="s">
        <v>544</v>
      </c>
      <c r="F291">
        <f>_xlfn.XLOOKUP(Orders4[[#This Row],[Order ID]],Details!$A:$A, Details!$B:$B)</f>
        <v>465</v>
      </c>
      <c r="G291">
        <f>_xlfn.XLOOKUP(Orders4[[#This Row],[Order ID]],Details!$A:$A,Details!C:C)</f>
        <v>207</v>
      </c>
      <c r="H291">
        <f>_xlfn.XLOOKUP(Orders4[[#This Row],[Order ID]],Details!$A:$A,Details!$D:$D)</f>
        <v>9</v>
      </c>
      <c r="I291" t="str">
        <f>_xlfn.XLOOKUP(Orders4[[#This Row],[Order ID]],Details!A:A,Details!$E:$E)</f>
        <v>Clothing</v>
      </c>
      <c r="J291" t="str">
        <f>_xlfn.XLOOKUP(Orders4[[#This Row],[Order ID]],Details!$A:$A,Details!$F:$F)</f>
        <v>Saree</v>
      </c>
      <c r="K291" t="str">
        <f>_xlfn.XLOOKUP(Orders4[[#This Row],[Order ID]],Details!$A:$A,Details!$G:$G)</f>
        <v>COD</v>
      </c>
      <c r="L291">
        <f>Orders4[[#This Row],[Amount]]/Orders4[[#This Row],[Quantity]]</f>
        <v>51.666666666666664</v>
      </c>
    </row>
    <row r="292" spans="1:12" x14ac:dyDescent="0.25">
      <c r="A292" t="s">
        <v>237</v>
      </c>
      <c r="B292" s="1">
        <v>43438</v>
      </c>
      <c r="C292" t="s">
        <v>846</v>
      </c>
      <c r="D292" t="s">
        <v>546</v>
      </c>
      <c r="E292" t="s">
        <v>547</v>
      </c>
      <c r="F292">
        <f>_xlfn.XLOOKUP(Orders4[[#This Row],[Order ID]],Details!$A:$A, Details!$B:$B)</f>
        <v>121</v>
      </c>
      <c r="G292">
        <f>_xlfn.XLOOKUP(Orders4[[#This Row],[Order ID]],Details!$A:$A,Details!C:C)</f>
        <v>41</v>
      </c>
      <c r="H292">
        <f>_xlfn.XLOOKUP(Orders4[[#This Row],[Order ID]],Details!$A:$A,Details!$D:$D)</f>
        <v>4</v>
      </c>
      <c r="I292" t="str">
        <f>_xlfn.XLOOKUP(Orders4[[#This Row],[Order ID]],Details!A:A,Details!$E:$E)</f>
        <v>Clothing</v>
      </c>
      <c r="J292" t="str">
        <f>_xlfn.XLOOKUP(Orders4[[#This Row],[Order ID]],Details!$A:$A,Details!$F:$F)</f>
        <v>Stole</v>
      </c>
      <c r="K292" t="str">
        <f>_xlfn.XLOOKUP(Orders4[[#This Row],[Order ID]],Details!$A:$A,Details!$G:$G)</f>
        <v>UPI</v>
      </c>
      <c r="L292">
        <f>Orders4[[#This Row],[Amount]]/Orders4[[#This Row],[Quantity]]</f>
        <v>30.25</v>
      </c>
    </row>
    <row r="293" spans="1:12" x14ac:dyDescent="0.25">
      <c r="A293" t="s">
        <v>406</v>
      </c>
      <c r="B293" s="1">
        <v>43438</v>
      </c>
      <c r="C293" t="s">
        <v>650</v>
      </c>
      <c r="D293" t="s">
        <v>595</v>
      </c>
      <c r="E293" t="s">
        <v>596</v>
      </c>
      <c r="F293">
        <f>_xlfn.XLOOKUP(Orders4[[#This Row],[Order ID]],Details!$A:$A, Details!$B:$B)</f>
        <v>139</v>
      </c>
      <c r="G293">
        <f>_xlfn.XLOOKUP(Orders4[[#This Row],[Order ID]],Details!$A:$A,Details!C:C)</f>
        <v>30</v>
      </c>
      <c r="H293">
        <f>_xlfn.XLOOKUP(Orders4[[#This Row],[Order ID]],Details!$A:$A,Details!$D:$D)</f>
        <v>3</v>
      </c>
      <c r="I293" t="str">
        <f>_xlfn.XLOOKUP(Orders4[[#This Row],[Order ID]],Details!A:A,Details!$E:$E)</f>
        <v>Clothing</v>
      </c>
      <c r="J293" t="str">
        <f>_xlfn.XLOOKUP(Orders4[[#This Row],[Order ID]],Details!$A:$A,Details!$F:$F)</f>
        <v>Shirt</v>
      </c>
      <c r="K293" t="str">
        <f>_xlfn.XLOOKUP(Orders4[[#This Row],[Order ID]],Details!$A:$A,Details!$G:$G)</f>
        <v>UPI</v>
      </c>
      <c r="L293">
        <f>Orders4[[#This Row],[Amount]]/Orders4[[#This Row],[Quantity]]</f>
        <v>46.333333333333336</v>
      </c>
    </row>
    <row r="294" spans="1:12" x14ac:dyDescent="0.25">
      <c r="A294" t="s">
        <v>202</v>
      </c>
      <c r="B294" s="1">
        <v>43438</v>
      </c>
      <c r="C294" t="s">
        <v>556</v>
      </c>
      <c r="D294" t="s">
        <v>537</v>
      </c>
      <c r="E294" t="s">
        <v>538</v>
      </c>
      <c r="F294">
        <f>_xlfn.XLOOKUP(Orders4[[#This Row],[Order ID]],Details!$A:$A, Details!$B:$B)</f>
        <v>61</v>
      </c>
      <c r="G294">
        <f>_xlfn.XLOOKUP(Orders4[[#This Row],[Order ID]],Details!$A:$A,Details!C:C)</f>
        <v>11</v>
      </c>
      <c r="H294">
        <f>_xlfn.XLOOKUP(Orders4[[#This Row],[Order ID]],Details!$A:$A,Details!$D:$D)</f>
        <v>3</v>
      </c>
      <c r="I294" t="str">
        <f>_xlfn.XLOOKUP(Orders4[[#This Row],[Order ID]],Details!A:A,Details!$E:$E)</f>
        <v>Clothing</v>
      </c>
      <c r="J294" t="str">
        <f>_xlfn.XLOOKUP(Orders4[[#This Row],[Order ID]],Details!$A:$A,Details!$F:$F)</f>
        <v>Kurti</v>
      </c>
      <c r="K294" t="str">
        <f>_xlfn.XLOOKUP(Orders4[[#This Row],[Order ID]],Details!$A:$A,Details!$G:$G)</f>
        <v>COD</v>
      </c>
      <c r="L294">
        <f>Orders4[[#This Row],[Amount]]/Orders4[[#This Row],[Quantity]]</f>
        <v>20.333333333333332</v>
      </c>
    </row>
    <row r="295" spans="1:12" x14ac:dyDescent="0.25">
      <c r="A295" t="s">
        <v>527</v>
      </c>
      <c r="B295" s="1">
        <v>43438</v>
      </c>
      <c r="C295" t="s">
        <v>637</v>
      </c>
      <c r="D295" t="s">
        <v>575</v>
      </c>
      <c r="E295" t="s">
        <v>638</v>
      </c>
      <c r="F295">
        <f>_xlfn.XLOOKUP(Orders4[[#This Row],[Order ID]],Details!$A:$A, Details!$B:$B)</f>
        <v>1246</v>
      </c>
      <c r="G295">
        <f>_xlfn.XLOOKUP(Orders4[[#This Row],[Order ID]],Details!$A:$A,Details!C:C)</f>
        <v>62</v>
      </c>
      <c r="H295">
        <f>_xlfn.XLOOKUP(Orders4[[#This Row],[Order ID]],Details!$A:$A,Details!$D:$D)</f>
        <v>3</v>
      </c>
      <c r="I295" t="str">
        <f>_xlfn.XLOOKUP(Orders4[[#This Row],[Order ID]],Details!A:A,Details!$E:$E)</f>
        <v>Furniture</v>
      </c>
      <c r="J295" t="str">
        <f>_xlfn.XLOOKUP(Orders4[[#This Row],[Order ID]],Details!$A:$A,Details!$F:$F)</f>
        <v>Bookcases</v>
      </c>
      <c r="K295" t="str">
        <f>_xlfn.XLOOKUP(Orders4[[#This Row],[Order ID]],Details!$A:$A,Details!$G:$G)</f>
        <v>EMI</v>
      </c>
      <c r="L295">
        <f>Orders4[[#This Row],[Amount]]/Orders4[[#This Row],[Quantity]]</f>
        <v>415.33333333333331</v>
      </c>
    </row>
    <row r="296" spans="1:12" x14ac:dyDescent="0.25">
      <c r="A296" t="s">
        <v>226</v>
      </c>
      <c r="B296" s="1">
        <v>43438</v>
      </c>
      <c r="C296" t="s">
        <v>754</v>
      </c>
      <c r="D296" t="s">
        <v>559</v>
      </c>
      <c r="E296" t="s">
        <v>560</v>
      </c>
      <c r="F296">
        <f>_xlfn.XLOOKUP(Orders4[[#This Row],[Order ID]],Details!$A:$A, Details!$B:$B)</f>
        <v>388</v>
      </c>
      <c r="G296">
        <f>_xlfn.XLOOKUP(Orders4[[#This Row],[Order ID]],Details!$A:$A,Details!C:C)</f>
        <v>93</v>
      </c>
      <c r="H296">
        <f>_xlfn.XLOOKUP(Orders4[[#This Row],[Order ID]],Details!$A:$A,Details!$D:$D)</f>
        <v>2</v>
      </c>
      <c r="I296" t="str">
        <f>_xlfn.XLOOKUP(Orders4[[#This Row],[Order ID]],Details!A:A,Details!$E:$E)</f>
        <v>Furniture</v>
      </c>
      <c r="J296" t="str">
        <f>_xlfn.XLOOKUP(Orders4[[#This Row],[Order ID]],Details!$A:$A,Details!$F:$F)</f>
        <v>Bookcases</v>
      </c>
      <c r="K296" t="str">
        <f>_xlfn.XLOOKUP(Orders4[[#This Row],[Order ID]],Details!$A:$A,Details!$G:$G)</f>
        <v>COD</v>
      </c>
      <c r="L296">
        <f>Orders4[[#This Row],[Amount]]/Orders4[[#This Row],[Quantity]]</f>
        <v>194</v>
      </c>
    </row>
    <row r="297" spans="1:12" x14ac:dyDescent="0.25">
      <c r="A297" t="s">
        <v>191</v>
      </c>
      <c r="B297" s="1">
        <v>43439</v>
      </c>
      <c r="C297" t="s">
        <v>733</v>
      </c>
      <c r="D297" t="s">
        <v>543</v>
      </c>
      <c r="E297" t="s">
        <v>544</v>
      </c>
      <c r="F297">
        <f>_xlfn.XLOOKUP(Orders4[[#This Row],[Order ID]],Details!$A:$A, Details!$B:$B)</f>
        <v>31</v>
      </c>
      <c r="G297">
        <f>_xlfn.XLOOKUP(Orders4[[#This Row],[Order ID]],Details!$A:$A,Details!C:C)</f>
        <v>-11</v>
      </c>
      <c r="H297">
        <f>_xlfn.XLOOKUP(Orders4[[#This Row],[Order ID]],Details!$A:$A,Details!$D:$D)</f>
        <v>3</v>
      </c>
      <c r="I297" t="str">
        <f>_xlfn.XLOOKUP(Orders4[[#This Row],[Order ID]],Details!A:A,Details!$E:$E)</f>
        <v>Clothing</v>
      </c>
      <c r="J297" t="str">
        <f>_xlfn.XLOOKUP(Orders4[[#This Row],[Order ID]],Details!$A:$A,Details!$F:$F)</f>
        <v>Skirt</v>
      </c>
      <c r="K297" t="str">
        <f>_xlfn.XLOOKUP(Orders4[[#This Row],[Order ID]],Details!$A:$A,Details!$G:$G)</f>
        <v>UPI</v>
      </c>
      <c r="L297">
        <f>Orders4[[#This Row],[Amount]]/Orders4[[#This Row],[Quantity]]</f>
        <v>10.333333333333334</v>
      </c>
    </row>
    <row r="298" spans="1:12" x14ac:dyDescent="0.25">
      <c r="A298" t="s">
        <v>185</v>
      </c>
      <c r="B298" s="1">
        <v>43440</v>
      </c>
      <c r="C298" t="s">
        <v>564</v>
      </c>
      <c r="D298" t="s">
        <v>546</v>
      </c>
      <c r="E298" t="s">
        <v>547</v>
      </c>
      <c r="F298">
        <f>_xlfn.XLOOKUP(Orders4[[#This Row],[Order ID]],Details!$A:$A, Details!$B:$B)</f>
        <v>734</v>
      </c>
      <c r="G298">
        <f>_xlfn.XLOOKUP(Orders4[[#This Row],[Order ID]],Details!$A:$A,Details!C:C)</f>
        <v>213</v>
      </c>
      <c r="H298">
        <f>_xlfn.XLOOKUP(Orders4[[#This Row],[Order ID]],Details!$A:$A,Details!$D:$D)</f>
        <v>6</v>
      </c>
      <c r="I298" t="str">
        <f>_xlfn.XLOOKUP(Orders4[[#This Row],[Order ID]],Details!A:A,Details!$E:$E)</f>
        <v>Electronics</v>
      </c>
      <c r="J298" t="str">
        <f>_xlfn.XLOOKUP(Orders4[[#This Row],[Order ID]],Details!$A:$A,Details!$F:$F)</f>
        <v>Electronic Games</v>
      </c>
      <c r="K298" t="str">
        <f>_xlfn.XLOOKUP(Orders4[[#This Row],[Order ID]],Details!$A:$A,Details!$G:$G)</f>
        <v>Credit Card</v>
      </c>
      <c r="L298">
        <f>Orders4[[#This Row],[Amount]]/Orders4[[#This Row],[Quantity]]</f>
        <v>122.33333333333333</v>
      </c>
    </row>
    <row r="299" spans="1:12" x14ac:dyDescent="0.25">
      <c r="A299" t="s">
        <v>115</v>
      </c>
      <c r="B299" s="1">
        <v>43441</v>
      </c>
      <c r="C299" t="s">
        <v>663</v>
      </c>
      <c r="D299" t="s">
        <v>595</v>
      </c>
      <c r="E299" t="s">
        <v>596</v>
      </c>
      <c r="F299">
        <f>_xlfn.XLOOKUP(Orders4[[#This Row],[Order ID]],Details!$A:$A, Details!$B:$B)</f>
        <v>857</v>
      </c>
      <c r="G299">
        <f>_xlfn.XLOOKUP(Orders4[[#This Row],[Order ID]],Details!$A:$A,Details!C:C)</f>
        <v>-274</v>
      </c>
      <c r="H299">
        <f>_xlfn.XLOOKUP(Orders4[[#This Row],[Order ID]],Details!$A:$A,Details!$D:$D)</f>
        <v>2</v>
      </c>
      <c r="I299" t="str">
        <f>_xlfn.XLOOKUP(Orders4[[#This Row],[Order ID]],Details!A:A,Details!$E:$E)</f>
        <v>Furniture</v>
      </c>
      <c r="J299" t="str">
        <f>_xlfn.XLOOKUP(Orders4[[#This Row],[Order ID]],Details!$A:$A,Details!$F:$F)</f>
        <v>Tables</v>
      </c>
      <c r="K299" t="str">
        <f>_xlfn.XLOOKUP(Orders4[[#This Row],[Order ID]],Details!$A:$A,Details!$G:$G)</f>
        <v>COD</v>
      </c>
      <c r="L299">
        <f>Orders4[[#This Row],[Amount]]/Orders4[[#This Row],[Quantity]]</f>
        <v>428.5</v>
      </c>
    </row>
    <row r="300" spans="1:12" x14ac:dyDescent="0.25">
      <c r="A300" t="s">
        <v>178</v>
      </c>
      <c r="B300" s="1">
        <v>43442</v>
      </c>
      <c r="C300" t="s">
        <v>672</v>
      </c>
      <c r="D300" t="s">
        <v>537</v>
      </c>
      <c r="E300" t="s">
        <v>549</v>
      </c>
      <c r="F300">
        <f>_xlfn.XLOOKUP(Orders4[[#This Row],[Order ID]],Details!$A:$A, Details!$B:$B)</f>
        <v>22</v>
      </c>
      <c r="G300">
        <f>_xlfn.XLOOKUP(Orders4[[#This Row],[Order ID]],Details!$A:$A,Details!C:C)</f>
        <v>9</v>
      </c>
      <c r="H300">
        <f>_xlfn.XLOOKUP(Orders4[[#This Row],[Order ID]],Details!$A:$A,Details!$D:$D)</f>
        <v>2</v>
      </c>
      <c r="I300" t="str">
        <f>_xlfn.XLOOKUP(Orders4[[#This Row],[Order ID]],Details!A:A,Details!$E:$E)</f>
        <v>Clothing</v>
      </c>
      <c r="J300" t="str">
        <f>_xlfn.XLOOKUP(Orders4[[#This Row],[Order ID]],Details!$A:$A,Details!$F:$F)</f>
        <v>Leggings</v>
      </c>
      <c r="K300" t="str">
        <f>_xlfn.XLOOKUP(Orders4[[#This Row],[Order ID]],Details!$A:$A,Details!$G:$G)</f>
        <v>Debit Card</v>
      </c>
      <c r="L300">
        <f>Orders4[[#This Row],[Amount]]/Orders4[[#This Row],[Quantity]]</f>
        <v>11</v>
      </c>
    </row>
    <row r="301" spans="1:12" x14ac:dyDescent="0.25">
      <c r="A301" t="s">
        <v>89</v>
      </c>
      <c r="B301" s="1">
        <v>43443</v>
      </c>
      <c r="C301" t="s">
        <v>716</v>
      </c>
      <c r="D301" t="s">
        <v>575</v>
      </c>
      <c r="E301" t="s">
        <v>638</v>
      </c>
      <c r="F301">
        <f>_xlfn.XLOOKUP(Orders4[[#This Row],[Order ID]],Details!$A:$A, Details!$B:$B)</f>
        <v>15</v>
      </c>
      <c r="G301">
        <f>_xlfn.XLOOKUP(Orders4[[#This Row],[Order ID]],Details!$A:$A,Details!C:C)</f>
        <v>2</v>
      </c>
      <c r="H301">
        <f>_xlfn.XLOOKUP(Orders4[[#This Row],[Order ID]],Details!$A:$A,Details!$D:$D)</f>
        <v>1</v>
      </c>
      <c r="I301" t="str">
        <f>_xlfn.XLOOKUP(Orders4[[#This Row],[Order ID]],Details!A:A,Details!$E:$E)</f>
        <v>Clothing</v>
      </c>
      <c r="J301" t="str">
        <f>_xlfn.XLOOKUP(Orders4[[#This Row],[Order ID]],Details!$A:$A,Details!$F:$F)</f>
        <v>Leggings</v>
      </c>
      <c r="K301" t="str">
        <f>_xlfn.XLOOKUP(Orders4[[#This Row],[Order ID]],Details!$A:$A,Details!$G:$G)</f>
        <v>Debit Card</v>
      </c>
      <c r="L301">
        <f>Orders4[[#This Row],[Amount]]/Orders4[[#This Row],[Quantity]]</f>
        <v>15</v>
      </c>
    </row>
    <row r="302" spans="1:12" x14ac:dyDescent="0.25">
      <c r="A302" t="s">
        <v>378</v>
      </c>
      <c r="B302" s="1">
        <v>43444</v>
      </c>
      <c r="C302" t="s">
        <v>817</v>
      </c>
      <c r="D302" t="s">
        <v>559</v>
      </c>
      <c r="E302" t="s">
        <v>560</v>
      </c>
      <c r="F302">
        <f>_xlfn.XLOOKUP(Orders4[[#This Row],[Order ID]],Details!$A:$A, Details!$B:$B)</f>
        <v>159</v>
      </c>
      <c r="G302">
        <f>_xlfn.XLOOKUP(Orders4[[#This Row],[Order ID]],Details!$A:$A,Details!C:C)</f>
        <v>2</v>
      </c>
      <c r="H302">
        <f>_xlfn.XLOOKUP(Orders4[[#This Row],[Order ID]],Details!$A:$A,Details!$D:$D)</f>
        <v>3</v>
      </c>
      <c r="I302" t="str">
        <f>_xlfn.XLOOKUP(Orders4[[#This Row],[Order ID]],Details!A:A,Details!$E:$E)</f>
        <v>Furniture</v>
      </c>
      <c r="J302" t="str">
        <f>_xlfn.XLOOKUP(Orders4[[#This Row],[Order ID]],Details!$A:$A,Details!$F:$F)</f>
        <v>Furnishings</v>
      </c>
      <c r="K302" t="str">
        <f>_xlfn.XLOOKUP(Orders4[[#This Row],[Order ID]],Details!$A:$A,Details!$G:$G)</f>
        <v>EMI</v>
      </c>
      <c r="L302">
        <f>Orders4[[#This Row],[Amount]]/Orders4[[#This Row],[Quantity]]</f>
        <v>53</v>
      </c>
    </row>
    <row r="303" spans="1:12" x14ac:dyDescent="0.25">
      <c r="A303" t="s">
        <v>306</v>
      </c>
      <c r="B303" s="1">
        <v>43444</v>
      </c>
      <c r="C303" t="s">
        <v>582</v>
      </c>
      <c r="D303" t="s">
        <v>543</v>
      </c>
      <c r="E303" t="s">
        <v>544</v>
      </c>
      <c r="F303">
        <f>_xlfn.XLOOKUP(Orders4[[#This Row],[Order ID]],Details!$A:$A, Details!$B:$B)</f>
        <v>268</v>
      </c>
      <c r="G303">
        <f>_xlfn.XLOOKUP(Orders4[[#This Row],[Order ID]],Details!$A:$A,Details!C:C)</f>
        <v>6</v>
      </c>
      <c r="H303">
        <f>_xlfn.XLOOKUP(Orders4[[#This Row],[Order ID]],Details!$A:$A,Details!$D:$D)</f>
        <v>2</v>
      </c>
      <c r="I303" t="str">
        <f>_xlfn.XLOOKUP(Orders4[[#This Row],[Order ID]],Details!A:A,Details!$E:$E)</f>
        <v>Furniture</v>
      </c>
      <c r="J303" t="str">
        <f>_xlfn.XLOOKUP(Orders4[[#This Row],[Order ID]],Details!$A:$A,Details!$F:$F)</f>
        <v>Bookcases</v>
      </c>
      <c r="K303" t="str">
        <f>_xlfn.XLOOKUP(Orders4[[#This Row],[Order ID]],Details!$A:$A,Details!$G:$G)</f>
        <v>UPI</v>
      </c>
      <c r="L303">
        <f>Orders4[[#This Row],[Amount]]/Orders4[[#This Row],[Quantity]]</f>
        <v>134</v>
      </c>
    </row>
    <row r="304" spans="1:12" x14ac:dyDescent="0.25">
      <c r="A304" t="s">
        <v>134</v>
      </c>
      <c r="B304" s="1">
        <v>43444</v>
      </c>
      <c r="C304" t="s">
        <v>743</v>
      </c>
      <c r="D304" t="s">
        <v>546</v>
      </c>
      <c r="E304" t="s">
        <v>547</v>
      </c>
      <c r="F304">
        <f>_xlfn.XLOOKUP(Orders4[[#This Row],[Order ID]],Details!$A:$A, Details!$B:$B)</f>
        <v>19</v>
      </c>
      <c r="G304">
        <f>_xlfn.XLOOKUP(Orders4[[#This Row],[Order ID]],Details!$A:$A,Details!C:C)</f>
        <v>8</v>
      </c>
      <c r="H304">
        <f>_xlfn.XLOOKUP(Orders4[[#This Row],[Order ID]],Details!$A:$A,Details!$D:$D)</f>
        <v>2</v>
      </c>
      <c r="I304" t="str">
        <f>_xlfn.XLOOKUP(Orders4[[#This Row],[Order ID]],Details!A:A,Details!$E:$E)</f>
        <v>Clothing</v>
      </c>
      <c r="J304" t="str">
        <f>_xlfn.XLOOKUP(Orders4[[#This Row],[Order ID]],Details!$A:$A,Details!$F:$F)</f>
        <v>Hankerchief</v>
      </c>
      <c r="K304" t="str">
        <f>_xlfn.XLOOKUP(Orders4[[#This Row],[Order ID]],Details!$A:$A,Details!$G:$G)</f>
        <v>Debit Card</v>
      </c>
      <c r="L304">
        <f>Orders4[[#This Row],[Amount]]/Orders4[[#This Row],[Quantity]]</f>
        <v>9.5</v>
      </c>
    </row>
    <row r="305" spans="1:12" x14ac:dyDescent="0.25">
      <c r="A305" t="s">
        <v>374</v>
      </c>
      <c r="B305" s="1">
        <v>43444</v>
      </c>
      <c r="C305" t="s">
        <v>669</v>
      </c>
      <c r="D305" t="s">
        <v>540</v>
      </c>
      <c r="E305" t="s">
        <v>540</v>
      </c>
      <c r="F305">
        <f>_xlfn.XLOOKUP(Orders4[[#This Row],[Order ID]],Details!$A:$A, Details!$B:$B)</f>
        <v>83</v>
      </c>
      <c r="G305">
        <f>_xlfn.XLOOKUP(Orders4[[#This Row],[Order ID]],Details!$A:$A,Details!C:C)</f>
        <v>12</v>
      </c>
      <c r="H305">
        <f>_xlfn.XLOOKUP(Orders4[[#This Row],[Order ID]],Details!$A:$A,Details!$D:$D)</f>
        <v>2</v>
      </c>
      <c r="I305" t="str">
        <f>_xlfn.XLOOKUP(Orders4[[#This Row],[Order ID]],Details!A:A,Details!$E:$E)</f>
        <v>Furniture</v>
      </c>
      <c r="J305" t="str">
        <f>_xlfn.XLOOKUP(Orders4[[#This Row],[Order ID]],Details!$A:$A,Details!$F:$F)</f>
        <v>Chairs</v>
      </c>
      <c r="K305" t="str">
        <f>_xlfn.XLOOKUP(Orders4[[#This Row],[Order ID]],Details!$A:$A,Details!$G:$G)</f>
        <v>COD</v>
      </c>
      <c r="L305">
        <f>Orders4[[#This Row],[Amount]]/Orders4[[#This Row],[Quantity]]</f>
        <v>41.5</v>
      </c>
    </row>
    <row r="306" spans="1:12" x14ac:dyDescent="0.25">
      <c r="A306" t="s">
        <v>197</v>
      </c>
      <c r="B306" s="1">
        <v>43445</v>
      </c>
      <c r="C306" t="s">
        <v>822</v>
      </c>
      <c r="D306" t="s">
        <v>540</v>
      </c>
      <c r="E306" t="s">
        <v>540</v>
      </c>
      <c r="F306">
        <f>_xlfn.XLOOKUP(Orders4[[#This Row],[Order ID]],Details!$A:$A, Details!$B:$B)</f>
        <v>152</v>
      </c>
      <c r="G306">
        <f>_xlfn.XLOOKUP(Orders4[[#This Row],[Order ID]],Details!$A:$A,Details!C:C)</f>
        <v>50</v>
      </c>
      <c r="H306">
        <f>_xlfn.XLOOKUP(Orders4[[#This Row],[Order ID]],Details!$A:$A,Details!$D:$D)</f>
        <v>6</v>
      </c>
      <c r="I306" t="str">
        <f>_xlfn.XLOOKUP(Orders4[[#This Row],[Order ID]],Details!A:A,Details!$E:$E)</f>
        <v>Clothing</v>
      </c>
      <c r="J306" t="str">
        <f>_xlfn.XLOOKUP(Orders4[[#This Row],[Order ID]],Details!$A:$A,Details!$F:$F)</f>
        <v>Stole</v>
      </c>
      <c r="K306" t="str">
        <f>_xlfn.XLOOKUP(Orders4[[#This Row],[Order ID]],Details!$A:$A,Details!$G:$G)</f>
        <v>UPI</v>
      </c>
      <c r="L306">
        <f>Orders4[[#This Row],[Amount]]/Orders4[[#This Row],[Quantity]]</f>
        <v>25.333333333333332</v>
      </c>
    </row>
    <row r="307" spans="1:12" x14ac:dyDescent="0.25">
      <c r="A307" t="s">
        <v>409</v>
      </c>
      <c r="B307" s="1">
        <v>43445</v>
      </c>
      <c r="C307" t="s">
        <v>871</v>
      </c>
      <c r="D307" t="s">
        <v>540</v>
      </c>
      <c r="E307" t="s">
        <v>540</v>
      </c>
      <c r="F307">
        <f>_xlfn.XLOOKUP(Orders4[[#This Row],[Order ID]],Details!$A:$A, Details!$B:$B)</f>
        <v>78</v>
      </c>
      <c r="G307">
        <f>_xlfn.XLOOKUP(Orders4[[#This Row],[Order ID]],Details!$A:$A,Details!C:C)</f>
        <v>27</v>
      </c>
      <c r="H307">
        <f>_xlfn.XLOOKUP(Orders4[[#This Row],[Order ID]],Details!$A:$A,Details!$D:$D)</f>
        <v>3</v>
      </c>
      <c r="I307" t="str">
        <f>_xlfn.XLOOKUP(Orders4[[#This Row],[Order ID]],Details!A:A,Details!$E:$E)</f>
        <v>Clothing</v>
      </c>
      <c r="J307" t="str">
        <f>_xlfn.XLOOKUP(Orders4[[#This Row],[Order ID]],Details!$A:$A,Details!$F:$F)</f>
        <v>Stole</v>
      </c>
      <c r="K307" t="str">
        <f>_xlfn.XLOOKUP(Orders4[[#This Row],[Order ID]],Details!$A:$A,Details!$G:$G)</f>
        <v>COD</v>
      </c>
      <c r="L307">
        <f>Orders4[[#This Row],[Amount]]/Orders4[[#This Row],[Quantity]]</f>
        <v>26</v>
      </c>
    </row>
    <row r="308" spans="1:12" x14ac:dyDescent="0.25">
      <c r="A308" t="s">
        <v>498</v>
      </c>
      <c r="B308" s="1">
        <v>43445</v>
      </c>
      <c r="C308" t="s">
        <v>902</v>
      </c>
      <c r="D308" t="s">
        <v>546</v>
      </c>
      <c r="E308" t="s">
        <v>578</v>
      </c>
      <c r="F308">
        <f>_xlfn.XLOOKUP(Orders4[[#This Row],[Order ID]],Details!$A:$A, Details!$B:$B)</f>
        <v>30</v>
      </c>
      <c r="G308">
        <f>_xlfn.XLOOKUP(Orders4[[#This Row],[Order ID]],Details!$A:$A,Details!C:C)</f>
        <v>11</v>
      </c>
      <c r="H308">
        <f>_xlfn.XLOOKUP(Orders4[[#This Row],[Order ID]],Details!$A:$A,Details!$D:$D)</f>
        <v>5</v>
      </c>
      <c r="I308" t="str">
        <f>_xlfn.XLOOKUP(Orders4[[#This Row],[Order ID]],Details!A:A,Details!$E:$E)</f>
        <v>Clothing</v>
      </c>
      <c r="J308" t="str">
        <f>_xlfn.XLOOKUP(Orders4[[#This Row],[Order ID]],Details!$A:$A,Details!$F:$F)</f>
        <v>Hankerchief</v>
      </c>
      <c r="K308" t="str">
        <f>_xlfn.XLOOKUP(Orders4[[#This Row],[Order ID]],Details!$A:$A,Details!$G:$G)</f>
        <v>COD</v>
      </c>
      <c r="L308">
        <f>Orders4[[#This Row],[Amount]]/Orders4[[#This Row],[Quantity]]</f>
        <v>6</v>
      </c>
    </row>
    <row r="309" spans="1:12" x14ac:dyDescent="0.25">
      <c r="A309" t="s">
        <v>317</v>
      </c>
      <c r="B309" s="1">
        <v>43446</v>
      </c>
      <c r="C309" t="s">
        <v>808</v>
      </c>
      <c r="D309" t="s">
        <v>540</v>
      </c>
      <c r="E309" t="s">
        <v>540</v>
      </c>
      <c r="F309">
        <f>_xlfn.XLOOKUP(Orders4[[#This Row],[Order ID]],Details!$A:$A, Details!$B:$B)</f>
        <v>179</v>
      </c>
      <c r="G309">
        <f>_xlfn.XLOOKUP(Orders4[[#This Row],[Order ID]],Details!$A:$A,Details!C:C)</f>
        <v>-25</v>
      </c>
      <c r="H309">
        <f>_xlfn.XLOOKUP(Orders4[[#This Row],[Order ID]],Details!$A:$A,Details!$D:$D)</f>
        <v>5</v>
      </c>
      <c r="I309" t="str">
        <f>_xlfn.XLOOKUP(Orders4[[#This Row],[Order ID]],Details!A:A,Details!$E:$E)</f>
        <v>Clothing</v>
      </c>
      <c r="J309" t="str">
        <f>_xlfn.XLOOKUP(Orders4[[#This Row],[Order ID]],Details!$A:$A,Details!$F:$F)</f>
        <v>Kurti</v>
      </c>
      <c r="K309" t="str">
        <f>_xlfn.XLOOKUP(Orders4[[#This Row],[Order ID]],Details!$A:$A,Details!$G:$G)</f>
        <v>COD</v>
      </c>
      <c r="L309">
        <f>Orders4[[#This Row],[Amount]]/Orders4[[#This Row],[Quantity]]</f>
        <v>35.799999999999997</v>
      </c>
    </row>
    <row r="310" spans="1:12" x14ac:dyDescent="0.25">
      <c r="A310" t="s">
        <v>71</v>
      </c>
      <c r="B310" s="1">
        <v>43447</v>
      </c>
      <c r="C310" t="s">
        <v>589</v>
      </c>
      <c r="D310" t="s">
        <v>543</v>
      </c>
      <c r="E310" t="s">
        <v>551</v>
      </c>
      <c r="F310">
        <f>_xlfn.XLOOKUP(Orders4[[#This Row],[Order ID]],Details!$A:$A, Details!$B:$B)</f>
        <v>1622</v>
      </c>
      <c r="G310">
        <f>_xlfn.XLOOKUP(Orders4[[#This Row],[Order ID]],Details!$A:$A,Details!C:C)</f>
        <v>-448</v>
      </c>
      <c r="H310">
        <f>_xlfn.XLOOKUP(Orders4[[#This Row],[Order ID]],Details!$A:$A,Details!$D:$D)</f>
        <v>3</v>
      </c>
      <c r="I310" t="str">
        <f>_xlfn.XLOOKUP(Orders4[[#This Row],[Order ID]],Details!A:A,Details!$E:$E)</f>
        <v>Electronics</v>
      </c>
      <c r="J310" t="str">
        <f>_xlfn.XLOOKUP(Orders4[[#This Row],[Order ID]],Details!$A:$A,Details!$F:$F)</f>
        <v>Phones</v>
      </c>
      <c r="K310" t="str">
        <f>_xlfn.XLOOKUP(Orders4[[#This Row],[Order ID]],Details!$A:$A,Details!$G:$G)</f>
        <v>EMI</v>
      </c>
      <c r="L310">
        <f>Orders4[[#This Row],[Amount]]/Orders4[[#This Row],[Quantity]]</f>
        <v>540.66666666666663</v>
      </c>
    </row>
    <row r="311" spans="1:12" x14ac:dyDescent="0.25">
      <c r="A311" t="s">
        <v>44</v>
      </c>
      <c r="B311" s="1">
        <v>43448</v>
      </c>
      <c r="C311" t="s">
        <v>590</v>
      </c>
      <c r="D311" t="s">
        <v>540</v>
      </c>
      <c r="E311" t="s">
        <v>540</v>
      </c>
      <c r="F311">
        <f>_xlfn.XLOOKUP(Orders4[[#This Row],[Order ID]],Details!$A:$A, Details!$B:$B)</f>
        <v>1622</v>
      </c>
      <c r="G311">
        <f>_xlfn.XLOOKUP(Orders4[[#This Row],[Order ID]],Details!$A:$A,Details!C:C)</f>
        <v>-624</v>
      </c>
      <c r="H311">
        <f>_xlfn.XLOOKUP(Orders4[[#This Row],[Order ID]],Details!$A:$A,Details!$D:$D)</f>
        <v>5</v>
      </c>
      <c r="I311" t="str">
        <f>_xlfn.XLOOKUP(Orders4[[#This Row],[Order ID]],Details!A:A,Details!$E:$E)</f>
        <v>Furniture</v>
      </c>
      <c r="J311" t="str">
        <f>_xlfn.XLOOKUP(Orders4[[#This Row],[Order ID]],Details!$A:$A,Details!$F:$F)</f>
        <v>Tables</v>
      </c>
      <c r="K311" t="str">
        <f>_xlfn.XLOOKUP(Orders4[[#This Row],[Order ID]],Details!$A:$A,Details!$G:$G)</f>
        <v>Credit Card</v>
      </c>
      <c r="L311">
        <f>Orders4[[#This Row],[Amount]]/Orders4[[#This Row],[Quantity]]</f>
        <v>324.39999999999998</v>
      </c>
    </row>
    <row r="312" spans="1:12" x14ac:dyDescent="0.25">
      <c r="A312" t="s">
        <v>160</v>
      </c>
      <c r="B312" s="1">
        <v>43449</v>
      </c>
      <c r="C312" t="s">
        <v>893</v>
      </c>
      <c r="D312" t="s">
        <v>546</v>
      </c>
      <c r="E312" t="s">
        <v>578</v>
      </c>
      <c r="F312">
        <f>_xlfn.XLOOKUP(Orders4[[#This Row],[Order ID]],Details!$A:$A, Details!$B:$B)</f>
        <v>40</v>
      </c>
      <c r="G312">
        <f>_xlfn.XLOOKUP(Orders4[[#This Row],[Order ID]],Details!$A:$A,Details!C:C)</f>
        <v>15</v>
      </c>
      <c r="H312">
        <f>_xlfn.XLOOKUP(Orders4[[#This Row],[Order ID]],Details!$A:$A,Details!$D:$D)</f>
        <v>1</v>
      </c>
      <c r="I312" t="str">
        <f>_xlfn.XLOOKUP(Orders4[[#This Row],[Order ID]],Details!A:A,Details!$E:$E)</f>
        <v>Clothing</v>
      </c>
      <c r="J312" t="str">
        <f>_xlfn.XLOOKUP(Orders4[[#This Row],[Order ID]],Details!$A:$A,Details!$F:$F)</f>
        <v>Kurti</v>
      </c>
      <c r="K312" t="str">
        <f>_xlfn.XLOOKUP(Orders4[[#This Row],[Order ID]],Details!$A:$A,Details!$G:$G)</f>
        <v>COD</v>
      </c>
      <c r="L312">
        <f>Orders4[[#This Row],[Amount]]/Orders4[[#This Row],[Quantity]]</f>
        <v>40</v>
      </c>
    </row>
    <row r="313" spans="1:12" x14ac:dyDescent="0.25">
      <c r="A313" t="s">
        <v>376</v>
      </c>
      <c r="B313" s="1">
        <v>43450</v>
      </c>
      <c r="C313" t="s">
        <v>856</v>
      </c>
      <c r="D313" t="s">
        <v>540</v>
      </c>
      <c r="E313" t="s">
        <v>540</v>
      </c>
      <c r="F313">
        <f>_xlfn.XLOOKUP(Orders4[[#This Row],[Order ID]],Details!$A:$A, Details!$B:$B)</f>
        <v>102</v>
      </c>
      <c r="G313">
        <f>_xlfn.XLOOKUP(Orders4[[#This Row],[Order ID]],Details!$A:$A,Details!C:C)</f>
        <v>11</v>
      </c>
      <c r="H313">
        <f>_xlfn.XLOOKUP(Orders4[[#This Row],[Order ID]],Details!$A:$A,Details!$D:$D)</f>
        <v>6</v>
      </c>
      <c r="I313" t="str">
        <f>_xlfn.XLOOKUP(Orders4[[#This Row],[Order ID]],Details!A:A,Details!$E:$E)</f>
        <v>Clothing</v>
      </c>
      <c r="J313" t="str">
        <f>_xlfn.XLOOKUP(Orders4[[#This Row],[Order ID]],Details!$A:$A,Details!$F:$F)</f>
        <v>T-shirt</v>
      </c>
      <c r="K313" t="str">
        <f>_xlfn.XLOOKUP(Orders4[[#This Row],[Order ID]],Details!$A:$A,Details!$G:$G)</f>
        <v>COD</v>
      </c>
      <c r="L313">
        <f>Orders4[[#This Row],[Amount]]/Orders4[[#This Row],[Quantity]]</f>
        <v>17</v>
      </c>
    </row>
    <row r="314" spans="1:12" x14ac:dyDescent="0.25">
      <c r="A314" t="s">
        <v>295</v>
      </c>
      <c r="B314" s="1">
        <v>43451</v>
      </c>
      <c r="C314" t="s">
        <v>855</v>
      </c>
      <c r="D314" t="s">
        <v>540</v>
      </c>
      <c r="E314" t="s">
        <v>540</v>
      </c>
      <c r="F314">
        <f>_xlfn.XLOOKUP(Orders4[[#This Row],[Order ID]],Details!$A:$A, Details!$B:$B)</f>
        <v>103</v>
      </c>
      <c r="G314">
        <f>_xlfn.XLOOKUP(Orders4[[#This Row],[Order ID]],Details!$A:$A,Details!C:C)</f>
        <v>21</v>
      </c>
      <c r="H314">
        <f>_xlfn.XLOOKUP(Orders4[[#This Row],[Order ID]],Details!$A:$A,Details!$D:$D)</f>
        <v>7</v>
      </c>
      <c r="I314" t="str">
        <f>_xlfn.XLOOKUP(Orders4[[#This Row],[Order ID]],Details!A:A,Details!$E:$E)</f>
        <v>Clothing</v>
      </c>
      <c r="J314" t="str">
        <f>_xlfn.XLOOKUP(Orders4[[#This Row],[Order ID]],Details!$A:$A,Details!$F:$F)</f>
        <v>Stole</v>
      </c>
      <c r="K314" t="str">
        <f>_xlfn.XLOOKUP(Orders4[[#This Row],[Order ID]],Details!$A:$A,Details!$G:$G)</f>
        <v>UPI</v>
      </c>
      <c r="L314">
        <f>Orders4[[#This Row],[Amount]]/Orders4[[#This Row],[Quantity]]</f>
        <v>14.714285714285714</v>
      </c>
    </row>
    <row r="315" spans="1:12" x14ac:dyDescent="0.25">
      <c r="A315" t="s">
        <v>401</v>
      </c>
      <c r="B315" s="1">
        <v>43452</v>
      </c>
      <c r="C315" t="s">
        <v>742</v>
      </c>
      <c r="D315" t="s">
        <v>540</v>
      </c>
      <c r="E315" t="s">
        <v>540</v>
      </c>
      <c r="F315">
        <f>_xlfn.XLOOKUP(Orders4[[#This Row],[Order ID]],Details!$A:$A, Details!$B:$B)</f>
        <v>125</v>
      </c>
      <c r="G315">
        <f>_xlfn.XLOOKUP(Orders4[[#This Row],[Order ID]],Details!$A:$A,Details!C:C)</f>
        <v>22</v>
      </c>
      <c r="H315">
        <f>_xlfn.XLOOKUP(Orders4[[#This Row],[Order ID]],Details!$A:$A,Details!$D:$D)</f>
        <v>3</v>
      </c>
      <c r="I315" t="str">
        <f>_xlfn.XLOOKUP(Orders4[[#This Row],[Order ID]],Details!A:A,Details!$E:$E)</f>
        <v>Clothing</v>
      </c>
      <c r="J315" t="str">
        <f>_xlfn.XLOOKUP(Orders4[[#This Row],[Order ID]],Details!$A:$A,Details!$F:$F)</f>
        <v>Stole</v>
      </c>
      <c r="K315" t="str">
        <f>_xlfn.XLOOKUP(Orders4[[#This Row],[Order ID]],Details!$A:$A,Details!$G:$G)</f>
        <v>EMI</v>
      </c>
      <c r="L315">
        <f>Orders4[[#This Row],[Amount]]/Orders4[[#This Row],[Quantity]]</f>
        <v>41.666666666666664</v>
      </c>
    </row>
    <row r="316" spans="1:12" x14ac:dyDescent="0.25">
      <c r="A316" t="s">
        <v>257</v>
      </c>
      <c r="B316" s="1">
        <v>43453</v>
      </c>
      <c r="C316" t="s">
        <v>781</v>
      </c>
      <c r="D316" t="s">
        <v>575</v>
      </c>
      <c r="E316" t="s">
        <v>638</v>
      </c>
      <c r="F316">
        <f>_xlfn.XLOOKUP(Orders4[[#This Row],[Order ID]],Details!$A:$A, Details!$B:$B)</f>
        <v>277</v>
      </c>
      <c r="G316">
        <f>_xlfn.XLOOKUP(Orders4[[#This Row],[Order ID]],Details!$A:$A,Details!C:C)</f>
        <v>3</v>
      </c>
      <c r="H316">
        <f>_xlfn.XLOOKUP(Orders4[[#This Row],[Order ID]],Details!$A:$A,Details!$D:$D)</f>
        <v>1</v>
      </c>
      <c r="I316" t="str">
        <f>_xlfn.XLOOKUP(Orders4[[#This Row],[Order ID]],Details!A:A,Details!$E:$E)</f>
        <v>Electronics</v>
      </c>
      <c r="J316" t="str">
        <f>_xlfn.XLOOKUP(Orders4[[#This Row],[Order ID]],Details!$A:$A,Details!$F:$F)</f>
        <v>Electronic Games</v>
      </c>
      <c r="K316" t="str">
        <f>_xlfn.XLOOKUP(Orders4[[#This Row],[Order ID]],Details!$A:$A,Details!$G:$G)</f>
        <v>COD</v>
      </c>
      <c r="L316">
        <f>Orders4[[#This Row],[Amount]]/Orders4[[#This Row],[Quantity]]</f>
        <v>277</v>
      </c>
    </row>
    <row r="317" spans="1:12" x14ac:dyDescent="0.25">
      <c r="A317" t="s">
        <v>464</v>
      </c>
      <c r="B317" s="1">
        <v>43454</v>
      </c>
      <c r="C317" t="s">
        <v>869</v>
      </c>
      <c r="D317" t="s">
        <v>559</v>
      </c>
      <c r="E317" t="s">
        <v>560</v>
      </c>
      <c r="F317">
        <f>_xlfn.XLOOKUP(Orders4[[#This Row],[Order ID]],Details!$A:$A, Details!$B:$B)</f>
        <v>80</v>
      </c>
      <c r="G317">
        <f>_xlfn.XLOOKUP(Orders4[[#This Row],[Order ID]],Details!$A:$A,Details!C:C)</f>
        <v>-26</v>
      </c>
      <c r="H317">
        <f>_xlfn.XLOOKUP(Orders4[[#This Row],[Order ID]],Details!$A:$A,Details!$D:$D)</f>
        <v>9</v>
      </c>
      <c r="I317" t="str">
        <f>_xlfn.XLOOKUP(Orders4[[#This Row],[Order ID]],Details!A:A,Details!$E:$E)</f>
        <v>Clothing</v>
      </c>
      <c r="J317" t="str">
        <f>_xlfn.XLOOKUP(Orders4[[#This Row],[Order ID]],Details!$A:$A,Details!$F:$F)</f>
        <v>Skirt</v>
      </c>
      <c r="K317" t="str">
        <f>_xlfn.XLOOKUP(Orders4[[#This Row],[Order ID]],Details!$A:$A,Details!$G:$G)</f>
        <v>EMI</v>
      </c>
      <c r="L317">
        <f>Orders4[[#This Row],[Amount]]/Orders4[[#This Row],[Quantity]]</f>
        <v>8.8888888888888893</v>
      </c>
    </row>
    <row r="318" spans="1:12" x14ac:dyDescent="0.25">
      <c r="A318" t="s">
        <v>365</v>
      </c>
      <c r="B318" s="1">
        <v>43455</v>
      </c>
      <c r="C318" t="s">
        <v>753</v>
      </c>
      <c r="D318" t="s">
        <v>543</v>
      </c>
      <c r="E318" t="s">
        <v>544</v>
      </c>
      <c r="F318">
        <f>_xlfn.XLOOKUP(Orders4[[#This Row],[Order ID]],Details!$A:$A, Details!$B:$B)</f>
        <v>100</v>
      </c>
      <c r="G318">
        <f>_xlfn.XLOOKUP(Orders4[[#This Row],[Order ID]],Details!$A:$A,Details!C:C)</f>
        <v>12</v>
      </c>
      <c r="H318">
        <f>_xlfn.XLOOKUP(Orders4[[#This Row],[Order ID]],Details!$A:$A,Details!$D:$D)</f>
        <v>2</v>
      </c>
      <c r="I318" t="str">
        <f>_xlfn.XLOOKUP(Orders4[[#This Row],[Order ID]],Details!A:A,Details!$E:$E)</f>
        <v>Clothing</v>
      </c>
      <c r="J318" t="str">
        <f>_xlfn.XLOOKUP(Orders4[[#This Row],[Order ID]],Details!$A:$A,Details!$F:$F)</f>
        <v>T-shirt</v>
      </c>
      <c r="K318" t="str">
        <f>_xlfn.XLOOKUP(Orders4[[#This Row],[Order ID]],Details!$A:$A,Details!$G:$G)</f>
        <v>UPI</v>
      </c>
      <c r="L318">
        <f>Orders4[[#This Row],[Amount]]/Orders4[[#This Row],[Quantity]]</f>
        <v>50</v>
      </c>
    </row>
    <row r="319" spans="1:12" x14ac:dyDescent="0.25">
      <c r="A319" t="s">
        <v>277</v>
      </c>
      <c r="B319" s="1">
        <v>43456</v>
      </c>
      <c r="C319" t="s">
        <v>789</v>
      </c>
      <c r="D319" t="s">
        <v>546</v>
      </c>
      <c r="E319" t="s">
        <v>547</v>
      </c>
      <c r="F319">
        <f>_xlfn.XLOOKUP(Orders4[[#This Row],[Order ID]],Details!$A:$A, Details!$B:$B)</f>
        <v>244</v>
      </c>
      <c r="G319">
        <f>_xlfn.XLOOKUP(Orders4[[#This Row],[Order ID]],Details!$A:$A,Details!C:C)</f>
        <v>-122</v>
      </c>
      <c r="H319">
        <f>_xlfn.XLOOKUP(Orders4[[#This Row],[Order ID]],Details!$A:$A,Details!$D:$D)</f>
        <v>5</v>
      </c>
      <c r="I319" t="str">
        <f>_xlfn.XLOOKUP(Orders4[[#This Row],[Order ID]],Details!A:A,Details!$E:$E)</f>
        <v>Furniture</v>
      </c>
      <c r="J319" t="str">
        <f>_xlfn.XLOOKUP(Orders4[[#This Row],[Order ID]],Details!$A:$A,Details!$F:$F)</f>
        <v>Furnishings</v>
      </c>
      <c r="K319" t="str">
        <f>_xlfn.XLOOKUP(Orders4[[#This Row],[Order ID]],Details!$A:$A,Details!$G:$G)</f>
        <v>COD</v>
      </c>
      <c r="L319">
        <f>Orders4[[#This Row],[Amount]]/Orders4[[#This Row],[Quantity]]</f>
        <v>48.8</v>
      </c>
    </row>
    <row r="320" spans="1:12" x14ac:dyDescent="0.25">
      <c r="A320" t="s">
        <v>385</v>
      </c>
      <c r="B320" s="1">
        <v>43457</v>
      </c>
      <c r="C320" t="s">
        <v>594</v>
      </c>
      <c r="D320" t="s">
        <v>595</v>
      </c>
      <c r="E320" t="s">
        <v>596</v>
      </c>
      <c r="F320">
        <f>_xlfn.XLOOKUP(Orders4[[#This Row],[Order ID]],Details!$A:$A, Details!$B:$B)</f>
        <v>110</v>
      </c>
      <c r="G320">
        <f>_xlfn.XLOOKUP(Orders4[[#This Row],[Order ID]],Details!$A:$A,Details!C:C)</f>
        <v>12</v>
      </c>
      <c r="H320">
        <f>_xlfn.XLOOKUP(Orders4[[#This Row],[Order ID]],Details!$A:$A,Details!$D:$D)</f>
        <v>7</v>
      </c>
      <c r="I320" t="str">
        <f>_xlfn.XLOOKUP(Orders4[[#This Row],[Order ID]],Details!A:A,Details!$E:$E)</f>
        <v>Clothing</v>
      </c>
      <c r="J320" t="str">
        <f>_xlfn.XLOOKUP(Orders4[[#This Row],[Order ID]],Details!$A:$A,Details!$F:$F)</f>
        <v>Stole</v>
      </c>
      <c r="K320" t="str">
        <f>_xlfn.XLOOKUP(Orders4[[#This Row],[Order ID]],Details!$A:$A,Details!$G:$G)</f>
        <v>Debit Card</v>
      </c>
      <c r="L320">
        <f>Orders4[[#This Row],[Amount]]/Orders4[[#This Row],[Quantity]]</f>
        <v>15.714285714285714</v>
      </c>
    </row>
    <row r="321" spans="1:12" x14ac:dyDescent="0.25">
      <c r="A321" t="s">
        <v>363</v>
      </c>
      <c r="B321" s="1">
        <v>43458</v>
      </c>
      <c r="C321" t="s">
        <v>859</v>
      </c>
      <c r="D321" t="s">
        <v>537</v>
      </c>
      <c r="E321" t="s">
        <v>549</v>
      </c>
      <c r="F321">
        <f>_xlfn.XLOOKUP(Orders4[[#This Row],[Order ID]],Details!$A:$A, Details!$B:$B)</f>
        <v>100</v>
      </c>
      <c r="G321">
        <f>_xlfn.XLOOKUP(Orders4[[#This Row],[Order ID]],Details!$A:$A,Details!C:C)</f>
        <v>7</v>
      </c>
      <c r="H321">
        <f>_xlfn.XLOOKUP(Orders4[[#This Row],[Order ID]],Details!$A:$A,Details!$D:$D)</f>
        <v>2</v>
      </c>
      <c r="I321" t="str">
        <f>_xlfn.XLOOKUP(Orders4[[#This Row],[Order ID]],Details!A:A,Details!$E:$E)</f>
        <v>Clothing</v>
      </c>
      <c r="J321" t="str">
        <f>_xlfn.XLOOKUP(Orders4[[#This Row],[Order ID]],Details!$A:$A,Details!$F:$F)</f>
        <v>T-shirt</v>
      </c>
      <c r="K321" t="str">
        <f>_xlfn.XLOOKUP(Orders4[[#This Row],[Order ID]],Details!$A:$A,Details!$G:$G)</f>
        <v>UPI</v>
      </c>
      <c r="L321">
        <f>Orders4[[#This Row],[Amount]]/Orders4[[#This Row],[Quantity]]</f>
        <v>50</v>
      </c>
    </row>
    <row r="322" spans="1:12" x14ac:dyDescent="0.25">
      <c r="A322" t="s">
        <v>403</v>
      </c>
      <c r="B322" s="1">
        <v>43459</v>
      </c>
      <c r="C322" t="s">
        <v>812</v>
      </c>
      <c r="D322" t="s">
        <v>575</v>
      </c>
      <c r="E322" t="s">
        <v>638</v>
      </c>
      <c r="F322">
        <f>_xlfn.XLOOKUP(Orders4[[#This Row],[Order ID]],Details!$A:$A, Details!$B:$B)</f>
        <v>84</v>
      </c>
      <c r="G322">
        <f>_xlfn.XLOOKUP(Orders4[[#This Row],[Order ID]],Details!$A:$A,Details!C:C)</f>
        <v>-42</v>
      </c>
      <c r="H322">
        <f>_xlfn.XLOOKUP(Orders4[[#This Row],[Order ID]],Details!$A:$A,Details!$D:$D)</f>
        <v>2</v>
      </c>
      <c r="I322" t="str">
        <f>_xlfn.XLOOKUP(Orders4[[#This Row],[Order ID]],Details!A:A,Details!$E:$E)</f>
        <v>Electronics</v>
      </c>
      <c r="J322" t="str">
        <f>_xlfn.XLOOKUP(Orders4[[#This Row],[Order ID]],Details!$A:$A,Details!$F:$F)</f>
        <v>Accessories</v>
      </c>
      <c r="K322" t="str">
        <f>_xlfn.XLOOKUP(Orders4[[#This Row],[Order ID]],Details!$A:$A,Details!$G:$G)</f>
        <v>COD</v>
      </c>
      <c r="L322">
        <f>Orders4[[#This Row],[Amount]]/Orders4[[#This Row],[Quantity]]</f>
        <v>42</v>
      </c>
    </row>
    <row r="323" spans="1:12" x14ac:dyDescent="0.25">
      <c r="A323" t="s">
        <v>457</v>
      </c>
      <c r="B323" s="1">
        <v>43460</v>
      </c>
      <c r="C323" t="s">
        <v>885</v>
      </c>
      <c r="D323" t="s">
        <v>559</v>
      </c>
      <c r="E323" t="s">
        <v>560</v>
      </c>
      <c r="F323">
        <f>_xlfn.XLOOKUP(Orders4[[#This Row],[Order ID]],Details!$A:$A, Details!$B:$B)</f>
        <v>52</v>
      </c>
      <c r="G323">
        <f>_xlfn.XLOOKUP(Orders4[[#This Row],[Order ID]],Details!$A:$A,Details!C:C)</f>
        <v>18</v>
      </c>
      <c r="H323">
        <f>_xlfn.XLOOKUP(Orders4[[#This Row],[Order ID]],Details!$A:$A,Details!$D:$D)</f>
        <v>2</v>
      </c>
      <c r="I323" t="str">
        <f>_xlfn.XLOOKUP(Orders4[[#This Row],[Order ID]],Details!A:A,Details!$E:$E)</f>
        <v>Clothing</v>
      </c>
      <c r="J323" t="str">
        <f>_xlfn.XLOOKUP(Orders4[[#This Row],[Order ID]],Details!$A:$A,Details!$F:$F)</f>
        <v>Stole</v>
      </c>
      <c r="K323" t="str">
        <f>_xlfn.XLOOKUP(Orders4[[#This Row],[Order ID]],Details!$A:$A,Details!$G:$G)</f>
        <v>COD</v>
      </c>
      <c r="L323">
        <f>Orders4[[#This Row],[Amount]]/Orders4[[#This Row],[Quantity]]</f>
        <v>26</v>
      </c>
    </row>
    <row r="324" spans="1:12" x14ac:dyDescent="0.25">
      <c r="A324" t="s">
        <v>35</v>
      </c>
      <c r="B324" s="1">
        <v>43461</v>
      </c>
      <c r="C324" t="s">
        <v>542</v>
      </c>
      <c r="D324" t="s">
        <v>543</v>
      </c>
      <c r="E324" t="s">
        <v>544</v>
      </c>
      <c r="F324">
        <f>_xlfn.XLOOKUP(Orders4[[#This Row],[Order ID]],Details!$A:$A, Details!$B:$B)</f>
        <v>3873</v>
      </c>
      <c r="G324">
        <f>_xlfn.XLOOKUP(Orders4[[#This Row],[Order ID]],Details!$A:$A,Details!C:C)</f>
        <v>-891</v>
      </c>
      <c r="H324">
        <f>_xlfn.XLOOKUP(Orders4[[#This Row],[Order ID]],Details!$A:$A,Details!$D:$D)</f>
        <v>6</v>
      </c>
      <c r="I324" t="str">
        <f>_xlfn.XLOOKUP(Orders4[[#This Row],[Order ID]],Details!A:A,Details!$E:$E)</f>
        <v>Electronics</v>
      </c>
      <c r="J324" t="str">
        <f>_xlfn.XLOOKUP(Orders4[[#This Row],[Order ID]],Details!$A:$A,Details!$F:$F)</f>
        <v>Phones</v>
      </c>
      <c r="K324" t="str">
        <f>_xlfn.XLOOKUP(Orders4[[#This Row],[Order ID]],Details!$A:$A,Details!$G:$G)</f>
        <v>Credit Card</v>
      </c>
      <c r="L324">
        <f>Orders4[[#This Row],[Amount]]/Orders4[[#This Row],[Quantity]]</f>
        <v>645.5</v>
      </c>
    </row>
    <row r="325" spans="1:12" x14ac:dyDescent="0.25">
      <c r="A325" t="s">
        <v>391</v>
      </c>
      <c r="B325" s="1">
        <v>43462</v>
      </c>
      <c r="C325" t="s">
        <v>828</v>
      </c>
      <c r="D325" t="s">
        <v>598</v>
      </c>
      <c r="E325" t="s">
        <v>599</v>
      </c>
      <c r="F325">
        <f>_xlfn.XLOOKUP(Orders4[[#This Row],[Order ID]],Details!$A:$A, Details!$B:$B)</f>
        <v>148</v>
      </c>
      <c r="G325">
        <f>_xlfn.XLOOKUP(Orders4[[#This Row],[Order ID]],Details!$A:$A,Details!C:C)</f>
        <v>54</v>
      </c>
      <c r="H325">
        <f>_xlfn.XLOOKUP(Orders4[[#This Row],[Order ID]],Details!$A:$A,Details!$D:$D)</f>
        <v>2</v>
      </c>
      <c r="I325" t="str">
        <f>_xlfn.XLOOKUP(Orders4[[#This Row],[Order ID]],Details!A:A,Details!$E:$E)</f>
        <v>Furniture</v>
      </c>
      <c r="J325" t="str">
        <f>_xlfn.XLOOKUP(Orders4[[#This Row],[Order ID]],Details!$A:$A,Details!$F:$F)</f>
        <v>Chairs</v>
      </c>
      <c r="K325" t="str">
        <f>_xlfn.XLOOKUP(Orders4[[#This Row],[Order ID]],Details!$A:$A,Details!$G:$G)</f>
        <v>UPI</v>
      </c>
      <c r="L325">
        <f>Orders4[[#This Row],[Amount]]/Orders4[[#This Row],[Quantity]]</f>
        <v>74</v>
      </c>
    </row>
    <row r="326" spans="1:12" x14ac:dyDescent="0.25">
      <c r="A326" t="s">
        <v>216</v>
      </c>
      <c r="B326" s="1">
        <v>43463</v>
      </c>
      <c r="C326" t="s">
        <v>591</v>
      </c>
      <c r="D326" t="s">
        <v>543</v>
      </c>
      <c r="E326" t="s">
        <v>544</v>
      </c>
      <c r="F326">
        <f>_xlfn.XLOOKUP(Orders4[[#This Row],[Order ID]],Details!$A:$A, Details!$B:$B)</f>
        <v>27</v>
      </c>
      <c r="G326">
        <f>_xlfn.XLOOKUP(Orders4[[#This Row],[Order ID]],Details!$A:$A,Details!C:C)</f>
        <v>12</v>
      </c>
      <c r="H326">
        <f>_xlfn.XLOOKUP(Orders4[[#This Row],[Order ID]],Details!$A:$A,Details!$D:$D)</f>
        <v>1</v>
      </c>
      <c r="I326" t="str">
        <f>_xlfn.XLOOKUP(Orders4[[#This Row],[Order ID]],Details!A:A,Details!$E:$E)</f>
        <v>Clothing</v>
      </c>
      <c r="J326" t="str">
        <f>_xlfn.XLOOKUP(Orders4[[#This Row],[Order ID]],Details!$A:$A,Details!$F:$F)</f>
        <v>Stole</v>
      </c>
      <c r="K326" t="str">
        <f>_xlfn.XLOOKUP(Orders4[[#This Row],[Order ID]],Details!$A:$A,Details!$G:$G)</f>
        <v>Debit Card</v>
      </c>
      <c r="L326">
        <f>Orders4[[#This Row],[Amount]]/Orders4[[#This Row],[Quantity]]</f>
        <v>27</v>
      </c>
    </row>
    <row r="327" spans="1:12" x14ac:dyDescent="0.25">
      <c r="A327" t="s">
        <v>293</v>
      </c>
      <c r="B327" s="1">
        <v>43464</v>
      </c>
      <c r="C327" t="s">
        <v>882</v>
      </c>
      <c r="D327" t="s">
        <v>546</v>
      </c>
      <c r="E327" t="s">
        <v>547</v>
      </c>
      <c r="F327">
        <f>_xlfn.XLOOKUP(Orders4[[#This Row],[Order ID]],Details!$A:$A, Details!$B:$B)</f>
        <v>57</v>
      </c>
      <c r="G327">
        <f>_xlfn.XLOOKUP(Orders4[[#This Row],[Order ID]],Details!$A:$A,Details!C:C)</f>
        <v>6</v>
      </c>
      <c r="H327">
        <f>_xlfn.XLOOKUP(Orders4[[#This Row],[Order ID]],Details!$A:$A,Details!$D:$D)</f>
        <v>5</v>
      </c>
      <c r="I327" t="str">
        <f>_xlfn.XLOOKUP(Orders4[[#This Row],[Order ID]],Details!A:A,Details!$E:$E)</f>
        <v>Clothing</v>
      </c>
      <c r="J327" t="str">
        <f>_xlfn.XLOOKUP(Orders4[[#This Row],[Order ID]],Details!$A:$A,Details!$F:$F)</f>
        <v>Leggings</v>
      </c>
      <c r="K327" t="str">
        <f>_xlfn.XLOOKUP(Orders4[[#This Row],[Order ID]],Details!$A:$A,Details!$G:$G)</f>
        <v>Debit Card</v>
      </c>
      <c r="L327">
        <f>Orders4[[#This Row],[Amount]]/Orders4[[#This Row],[Quantity]]</f>
        <v>11.4</v>
      </c>
    </row>
    <row r="328" spans="1:12" x14ac:dyDescent="0.25">
      <c r="A328" t="s">
        <v>333</v>
      </c>
      <c r="B328" s="1">
        <v>43465</v>
      </c>
      <c r="C328" t="s">
        <v>660</v>
      </c>
      <c r="D328" t="s">
        <v>537</v>
      </c>
      <c r="E328" t="s">
        <v>607</v>
      </c>
      <c r="F328">
        <f>_xlfn.XLOOKUP(Orders4[[#This Row],[Order ID]],Details!$A:$A, Details!$B:$B)</f>
        <v>200</v>
      </c>
      <c r="G328">
        <f>_xlfn.XLOOKUP(Orders4[[#This Row],[Order ID]],Details!$A:$A,Details!C:C)</f>
        <v>7</v>
      </c>
      <c r="H328">
        <f>_xlfn.XLOOKUP(Orders4[[#This Row],[Order ID]],Details!$A:$A,Details!$D:$D)</f>
        <v>4</v>
      </c>
      <c r="I328" t="str">
        <f>_xlfn.XLOOKUP(Orders4[[#This Row],[Order ID]],Details!A:A,Details!$E:$E)</f>
        <v>Electronics</v>
      </c>
      <c r="J328" t="str">
        <f>_xlfn.XLOOKUP(Orders4[[#This Row],[Order ID]],Details!$A:$A,Details!$F:$F)</f>
        <v>Electronic Games</v>
      </c>
      <c r="K328" t="str">
        <f>_xlfn.XLOOKUP(Orders4[[#This Row],[Order ID]],Details!$A:$A,Details!$G:$G)</f>
        <v>Credit Card</v>
      </c>
      <c r="L328">
        <f>Orders4[[#This Row],[Amount]]/Orders4[[#This Row],[Quantity]]</f>
        <v>50</v>
      </c>
    </row>
    <row r="329" spans="1:12" x14ac:dyDescent="0.25">
      <c r="A329" t="s">
        <v>397</v>
      </c>
      <c r="B329" s="1">
        <v>43101</v>
      </c>
      <c r="C329" t="s">
        <v>843</v>
      </c>
      <c r="D329" t="s">
        <v>568</v>
      </c>
      <c r="E329" t="s">
        <v>569</v>
      </c>
      <c r="F329">
        <f>_xlfn.XLOOKUP(Orders4[[#This Row],[Order ID]],Details!$A:$A, Details!$B:$B)</f>
        <v>122</v>
      </c>
      <c r="G329">
        <f>_xlfn.XLOOKUP(Orders4[[#This Row],[Order ID]],Details!$A:$A,Details!C:C)</f>
        <v>15</v>
      </c>
      <c r="H329">
        <f>_xlfn.XLOOKUP(Orders4[[#This Row],[Order ID]],Details!$A:$A,Details!$D:$D)</f>
        <v>3</v>
      </c>
      <c r="I329" t="str">
        <f>_xlfn.XLOOKUP(Orders4[[#This Row],[Order ID]],Details!A:A,Details!$E:$E)</f>
        <v>Electronics</v>
      </c>
      <c r="J329" t="str">
        <f>_xlfn.XLOOKUP(Orders4[[#This Row],[Order ID]],Details!$A:$A,Details!$F:$F)</f>
        <v>Accessories</v>
      </c>
      <c r="K329" t="str">
        <f>_xlfn.XLOOKUP(Orders4[[#This Row],[Order ID]],Details!$A:$A,Details!$G:$G)</f>
        <v>EMI</v>
      </c>
      <c r="L329">
        <f>Orders4[[#This Row],[Amount]]/Orders4[[#This Row],[Quantity]]</f>
        <v>40.666666666666664</v>
      </c>
    </row>
    <row r="330" spans="1:12" x14ac:dyDescent="0.25">
      <c r="A330" t="s">
        <v>96</v>
      </c>
      <c r="B330" s="1">
        <v>43102</v>
      </c>
      <c r="C330" t="s">
        <v>624</v>
      </c>
      <c r="D330" t="s">
        <v>580</v>
      </c>
      <c r="E330" t="s">
        <v>581</v>
      </c>
      <c r="F330">
        <f>_xlfn.XLOOKUP(Orders4[[#This Row],[Order ID]],Details!$A:$A, Details!$B:$B)</f>
        <v>1308</v>
      </c>
      <c r="G330">
        <f>_xlfn.XLOOKUP(Orders4[[#This Row],[Order ID]],Details!$A:$A,Details!C:C)</f>
        <v>536</v>
      </c>
      <c r="H330">
        <f>_xlfn.XLOOKUP(Orders4[[#This Row],[Order ID]],Details!$A:$A,Details!$D:$D)</f>
        <v>3</v>
      </c>
      <c r="I330" t="str">
        <f>_xlfn.XLOOKUP(Orders4[[#This Row],[Order ID]],Details!A:A,Details!$E:$E)</f>
        <v>Furniture</v>
      </c>
      <c r="J330" t="str">
        <f>_xlfn.XLOOKUP(Orders4[[#This Row],[Order ID]],Details!$A:$A,Details!$F:$F)</f>
        <v>Bookcases</v>
      </c>
      <c r="K330" t="str">
        <f>_xlfn.XLOOKUP(Orders4[[#This Row],[Order ID]],Details!$A:$A,Details!$G:$G)</f>
        <v>Credit Card</v>
      </c>
      <c r="L330">
        <f>Orders4[[#This Row],[Amount]]/Orders4[[#This Row],[Quantity]]</f>
        <v>436</v>
      </c>
    </row>
    <row r="331" spans="1:12" x14ac:dyDescent="0.25">
      <c r="A331" t="s">
        <v>165</v>
      </c>
      <c r="B331" s="1">
        <v>43103</v>
      </c>
      <c r="C331" t="s">
        <v>717</v>
      </c>
      <c r="D331" t="s">
        <v>575</v>
      </c>
      <c r="E331" t="s">
        <v>576</v>
      </c>
      <c r="F331">
        <f>_xlfn.XLOOKUP(Orders4[[#This Row],[Order ID]],Details!$A:$A, Details!$B:$B)</f>
        <v>595</v>
      </c>
      <c r="G331">
        <f>_xlfn.XLOOKUP(Orders4[[#This Row],[Order ID]],Details!$A:$A,Details!C:C)</f>
        <v>119</v>
      </c>
      <c r="H331">
        <f>_xlfn.XLOOKUP(Orders4[[#This Row],[Order ID]],Details!$A:$A,Details!$D:$D)</f>
        <v>4</v>
      </c>
      <c r="I331" t="str">
        <f>_xlfn.XLOOKUP(Orders4[[#This Row],[Order ID]],Details!A:A,Details!$E:$E)</f>
        <v>Furniture</v>
      </c>
      <c r="J331" t="str">
        <f>_xlfn.XLOOKUP(Orders4[[#This Row],[Order ID]],Details!$A:$A,Details!$F:$F)</f>
        <v>Bookcases</v>
      </c>
      <c r="K331" t="str">
        <f>_xlfn.XLOOKUP(Orders4[[#This Row],[Order ID]],Details!$A:$A,Details!$G:$G)</f>
        <v>COD</v>
      </c>
      <c r="L331">
        <f>Orders4[[#This Row],[Amount]]/Orders4[[#This Row],[Quantity]]</f>
        <v>148.75</v>
      </c>
    </row>
    <row r="332" spans="1:12" x14ac:dyDescent="0.25">
      <c r="A332" t="s">
        <v>473</v>
      </c>
      <c r="B332" s="1">
        <v>43104</v>
      </c>
      <c r="C332" t="s">
        <v>874</v>
      </c>
      <c r="D332" t="s">
        <v>543</v>
      </c>
      <c r="E332" t="s">
        <v>544</v>
      </c>
      <c r="F332">
        <f>_xlfn.XLOOKUP(Orders4[[#This Row],[Order ID]],Details!$A:$A, Details!$B:$B)</f>
        <v>73</v>
      </c>
      <c r="G332">
        <f>_xlfn.XLOOKUP(Orders4[[#This Row],[Order ID]],Details!$A:$A,Details!C:C)</f>
        <v>-36</v>
      </c>
      <c r="H332">
        <f>_xlfn.XLOOKUP(Orders4[[#This Row],[Order ID]],Details!$A:$A,Details!$D:$D)</f>
        <v>3</v>
      </c>
      <c r="I332" t="str">
        <f>_xlfn.XLOOKUP(Orders4[[#This Row],[Order ID]],Details!A:A,Details!$E:$E)</f>
        <v>Furniture</v>
      </c>
      <c r="J332" t="str">
        <f>_xlfn.XLOOKUP(Orders4[[#This Row],[Order ID]],Details!$A:$A,Details!$F:$F)</f>
        <v>Chairs</v>
      </c>
      <c r="K332" t="str">
        <f>_xlfn.XLOOKUP(Orders4[[#This Row],[Order ID]],Details!$A:$A,Details!$G:$G)</f>
        <v>UPI</v>
      </c>
      <c r="L332">
        <f>Orders4[[#This Row],[Amount]]/Orders4[[#This Row],[Quantity]]</f>
        <v>24.333333333333332</v>
      </c>
    </row>
    <row r="333" spans="1:12" x14ac:dyDescent="0.25">
      <c r="A333" t="s">
        <v>419</v>
      </c>
      <c r="B333" s="1">
        <v>43104</v>
      </c>
      <c r="C333" t="s">
        <v>875</v>
      </c>
      <c r="D333" t="s">
        <v>546</v>
      </c>
      <c r="E333" t="s">
        <v>547</v>
      </c>
      <c r="F333">
        <f>_xlfn.XLOOKUP(Orders4[[#This Row],[Order ID]],Details!$A:$A, Details!$B:$B)</f>
        <v>71</v>
      </c>
      <c r="G333">
        <f>_xlfn.XLOOKUP(Orders4[[#This Row],[Order ID]],Details!$A:$A,Details!C:C)</f>
        <v>-14</v>
      </c>
      <c r="H333">
        <f>_xlfn.XLOOKUP(Orders4[[#This Row],[Order ID]],Details!$A:$A,Details!$D:$D)</f>
        <v>4</v>
      </c>
      <c r="I333" t="str">
        <f>_xlfn.XLOOKUP(Orders4[[#This Row],[Order ID]],Details!A:A,Details!$E:$E)</f>
        <v>Furniture</v>
      </c>
      <c r="J333" t="str">
        <f>_xlfn.XLOOKUP(Orders4[[#This Row],[Order ID]],Details!$A:$A,Details!$F:$F)</f>
        <v>Furnishings</v>
      </c>
      <c r="K333" t="str">
        <f>_xlfn.XLOOKUP(Orders4[[#This Row],[Order ID]],Details!$A:$A,Details!$G:$G)</f>
        <v>COD</v>
      </c>
      <c r="L333">
        <f>Orders4[[#This Row],[Amount]]/Orders4[[#This Row],[Quantity]]</f>
        <v>17.75</v>
      </c>
    </row>
    <row r="334" spans="1:12" x14ac:dyDescent="0.25">
      <c r="A334" t="s">
        <v>219</v>
      </c>
      <c r="B334" s="1">
        <v>43104</v>
      </c>
      <c r="C334" t="s">
        <v>749</v>
      </c>
      <c r="D334" t="s">
        <v>543</v>
      </c>
      <c r="E334" t="s">
        <v>544</v>
      </c>
      <c r="F334">
        <f>_xlfn.XLOOKUP(Orders4[[#This Row],[Order ID]],Details!$A:$A, Details!$B:$B)</f>
        <v>412</v>
      </c>
      <c r="G334">
        <f>_xlfn.XLOOKUP(Orders4[[#This Row],[Order ID]],Details!$A:$A,Details!C:C)</f>
        <v>412</v>
      </c>
      <c r="H334">
        <f>_xlfn.XLOOKUP(Orders4[[#This Row],[Order ID]],Details!$A:$A,Details!$D:$D)</f>
        <v>6</v>
      </c>
      <c r="I334" t="str">
        <f>_xlfn.XLOOKUP(Orders4[[#This Row],[Order ID]],Details!A:A,Details!$E:$E)</f>
        <v>Clothing</v>
      </c>
      <c r="J334" t="str">
        <f>_xlfn.XLOOKUP(Orders4[[#This Row],[Order ID]],Details!$A:$A,Details!$F:$F)</f>
        <v>Saree</v>
      </c>
      <c r="K334" t="str">
        <f>_xlfn.XLOOKUP(Orders4[[#This Row],[Order ID]],Details!$A:$A,Details!$G:$G)</f>
        <v>COD</v>
      </c>
      <c r="L334">
        <f>Orders4[[#This Row],[Amount]]/Orders4[[#This Row],[Quantity]]</f>
        <v>68.666666666666671</v>
      </c>
    </row>
    <row r="335" spans="1:12" x14ac:dyDescent="0.25">
      <c r="A335" t="s">
        <v>375</v>
      </c>
      <c r="B335" s="1">
        <v>43104</v>
      </c>
      <c r="C335" t="s">
        <v>854</v>
      </c>
      <c r="D335" t="s">
        <v>546</v>
      </c>
      <c r="E335" t="s">
        <v>547</v>
      </c>
      <c r="F335">
        <f>_xlfn.XLOOKUP(Orders4[[#This Row],[Order ID]],Details!$A:$A, Details!$B:$B)</f>
        <v>105</v>
      </c>
      <c r="G335">
        <f>_xlfn.XLOOKUP(Orders4[[#This Row],[Order ID]],Details!$A:$A,Details!C:C)</f>
        <v>33</v>
      </c>
      <c r="H335">
        <f>_xlfn.XLOOKUP(Orders4[[#This Row],[Order ID]],Details!$A:$A,Details!$D:$D)</f>
        <v>6</v>
      </c>
      <c r="I335" t="str">
        <f>_xlfn.XLOOKUP(Orders4[[#This Row],[Order ID]],Details!A:A,Details!$E:$E)</f>
        <v>Clothing</v>
      </c>
      <c r="J335" t="str">
        <f>_xlfn.XLOOKUP(Orders4[[#This Row],[Order ID]],Details!$A:$A,Details!$F:$F)</f>
        <v>Saree</v>
      </c>
      <c r="K335" t="str">
        <f>_xlfn.XLOOKUP(Orders4[[#This Row],[Order ID]],Details!$A:$A,Details!$G:$G)</f>
        <v>EMI</v>
      </c>
      <c r="L335">
        <f>Orders4[[#This Row],[Amount]]/Orders4[[#This Row],[Quantity]]</f>
        <v>17.5</v>
      </c>
    </row>
    <row r="336" spans="1:12" x14ac:dyDescent="0.25">
      <c r="A336" t="s">
        <v>74</v>
      </c>
      <c r="B336" s="1">
        <v>43104</v>
      </c>
      <c r="C336" t="s">
        <v>583</v>
      </c>
      <c r="D336" t="s">
        <v>584</v>
      </c>
      <c r="E336" t="s">
        <v>585</v>
      </c>
      <c r="F336">
        <f>_xlfn.XLOOKUP(Orders4[[#This Row],[Order ID]],Details!$A:$A, Details!$B:$B)</f>
        <v>1657</v>
      </c>
      <c r="G336">
        <f>_xlfn.XLOOKUP(Orders4[[#This Row],[Order ID]],Details!$A:$A,Details!C:C)</f>
        <v>460</v>
      </c>
      <c r="H336">
        <f>_xlfn.XLOOKUP(Orders4[[#This Row],[Order ID]],Details!$A:$A,Details!$D:$D)</f>
        <v>4</v>
      </c>
      <c r="I336" t="str">
        <f>_xlfn.XLOOKUP(Orders4[[#This Row],[Order ID]],Details!A:A,Details!$E:$E)</f>
        <v>Furniture</v>
      </c>
      <c r="J336" t="str">
        <f>_xlfn.XLOOKUP(Orders4[[#This Row],[Order ID]],Details!$A:$A,Details!$F:$F)</f>
        <v>Chairs</v>
      </c>
      <c r="K336" t="str">
        <f>_xlfn.XLOOKUP(Orders4[[#This Row],[Order ID]],Details!$A:$A,Details!$G:$G)</f>
        <v>Credit Card</v>
      </c>
      <c r="L336">
        <f>Orders4[[#This Row],[Amount]]/Orders4[[#This Row],[Quantity]]</f>
        <v>414.25</v>
      </c>
    </row>
    <row r="337" spans="1:12" x14ac:dyDescent="0.25">
      <c r="A337" t="s">
        <v>483</v>
      </c>
      <c r="B337" s="1">
        <v>43105</v>
      </c>
      <c r="C337" t="s">
        <v>879</v>
      </c>
      <c r="D337" t="s">
        <v>575</v>
      </c>
      <c r="E337" t="s">
        <v>576</v>
      </c>
      <c r="F337">
        <f>_xlfn.XLOOKUP(Orders4[[#This Row],[Order ID]],Details!$A:$A, Details!$B:$B)</f>
        <v>61</v>
      </c>
      <c r="G337">
        <f>_xlfn.XLOOKUP(Orders4[[#This Row],[Order ID]],Details!$A:$A,Details!C:C)</f>
        <v>25</v>
      </c>
      <c r="H337">
        <f>_xlfn.XLOOKUP(Orders4[[#This Row],[Order ID]],Details!$A:$A,Details!$D:$D)</f>
        <v>4</v>
      </c>
      <c r="I337" t="str">
        <f>_xlfn.XLOOKUP(Orders4[[#This Row],[Order ID]],Details!A:A,Details!$E:$E)</f>
        <v>Clothing</v>
      </c>
      <c r="J337" t="str">
        <f>_xlfn.XLOOKUP(Orders4[[#This Row],[Order ID]],Details!$A:$A,Details!$F:$F)</f>
        <v>Saree</v>
      </c>
      <c r="K337" t="str">
        <f>_xlfn.XLOOKUP(Orders4[[#This Row],[Order ID]],Details!$A:$A,Details!$G:$G)</f>
        <v>UPI</v>
      </c>
      <c r="L337">
        <f>Orders4[[#This Row],[Amount]]/Orders4[[#This Row],[Quantity]]</f>
        <v>15.25</v>
      </c>
    </row>
    <row r="338" spans="1:12" x14ac:dyDescent="0.25">
      <c r="A338" t="s">
        <v>524</v>
      </c>
      <c r="B338" s="1">
        <v>43105</v>
      </c>
      <c r="C338" t="s">
        <v>649</v>
      </c>
      <c r="D338" t="s">
        <v>593</v>
      </c>
      <c r="E338" t="s">
        <v>576</v>
      </c>
      <c r="F338">
        <f>_xlfn.XLOOKUP(Orders4[[#This Row],[Order ID]],Details!$A:$A, Details!$B:$B)</f>
        <v>1101</v>
      </c>
      <c r="G338">
        <f>_xlfn.XLOOKUP(Orders4[[#This Row],[Order ID]],Details!$A:$A,Details!C:C)</f>
        <v>352</v>
      </c>
      <c r="H338">
        <f>_xlfn.XLOOKUP(Orders4[[#This Row],[Order ID]],Details!$A:$A,Details!$D:$D)</f>
        <v>3</v>
      </c>
      <c r="I338" t="str">
        <f>_xlfn.XLOOKUP(Orders4[[#This Row],[Order ID]],Details!A:A,Details!$E:$E)</f>
        <v>Furniture</v>
      </c>
      <c r="J338" t="str">
        <f>_xlfn.XLOOKUP(Orders4[[#This Row],[Order ID]],Details!$A:$A,Details!$F:$F)</f>
        <v>Bookcases</v>
      </c>
      <c r="K338" t="str">
        <f>_xlfn.XLOOKUP(Orders4[[#This Row],[Order ID]],Details!$A:$A,Details!$G:$G)</f>
        <v>UPI</v>
      </c>
      <c r="L338">
        <f>Orders4[[#This Row],[Amount]]/Orders4[[#This Row],[Quantity]]</f>
        <v>367</v>
      </c>
    </row>
    <row r="339" spans="1:12" x14ac:dyDescent="0.25">
      <c r="A339" t="s">
        <v>389</v>
      </c>
      <c r="B339" s="1">
        <v>43105</v>
      </c>
      <c r="C339" t="s">
        <v>749</v>
      </c>
      <c r="D339" t="s">
        <v>571</v>
      </c>
      <c r="E339" t="s">
        <v>572</v>
      </c>
      <c r="F339">
        <f>_xlfn.XLOOKUP(Orders4[[#This Row],[Order ID]],Details!$A:$A, Details!$B:$B)</f>
        <v>61</v>
      </c>
      <c r="G339">
        <f>_xlfn.XLOOKUP(Orders4[[#This Row],[Order ID]],Details!$A:$A,Details!C:C)</f>
        <v>1</v>
      </c>
      <c r="H339">
        <f>_xlfn.XLOOKUP(Orders4[[#This Row],[Order ID]],Details!$A:$A,Details!$D:$D)</f>
        <v>2</v>
      </c>
      <c r="I339" t="str">
        <f>_xlfn.XLOOKUP(Orders4[[#This Row],[Order ID]],Details!A:A,Details!$E:$E)</f>
        <v>Furniture</v>
      </c>
      <c r="J339" t="str">
        <f>_xlfn.XLOOKUP(Orders4[[#This Row],[Order ID]],Details!$A:$A,Details!$F:$F)</f>
        <v>Furnishings</v>
      </c>
      <c r="K339" t="str">
        <f>_xlfn.XLOOKUP(Orders4[[#This Row],[Order ID]],Details!$A:$A,Details!$G:$G)</f>
        <v>COD</v>
      </c>
      <c r="L339">
        <f>Orders4[[#This Row],[Amount]]/Orders4[[#This Row],[Quantity]]</f>
        <v>30.5</v>
      </c>
    </row>
    <row r="340" spans="1:12" x14ac:dyDescent="0.25">
      <c r="A340" t="s">
        <v>408</v>
      </c>
      <c r="B340" s="1">
        <v>43105</v>
      </c>
      <c r="C340" t="s">
        <v>740</v>
      </c>
      <c r="D340" t="s">
        <v>697</v>
      </c>
      <c r="E340" t="s">
        <v>698</v>
      </c>
      <c r="F340">
        <f>_xlfn.XLOOKUP(Orders4[[#This Row],[Order ID]],Details!$A:$A, Details!$B:$B)</f>
        <v>136</v>
      </c>
      <c r="G340">
        <f>_xlfn.XLOOKUP(Orders4[[#This Row],[Order ID]],Details!$A:$A,Details!C:C)</f>
        <v>41</v>
      </c>
      <c r="H340">
        <f>_xlfn.XLOOKUP(Orders4[[#This Row],[Order ID]],Details!$A:$A,Details!$D:$D)</f>
        <v>3</v>
      </c>
      <c r="I340" t="str">
        <f>_xlfn.XLOOKUP(Orders4[[#This Row],[Order ID]],Details!A:A,Details!$E:$E)</f>
        <v>Electronics</v>
      </c>
      <c r="J340" t="str">
        <f>_xlfn.XLOOKUP(Orders4[[#This Row],[Order ID]],Details!$A:$A,Details!$F:$F)</f>
        <v>Accessories</v>
      </c>
      <c r="K340" t="str">
        <f>_xlfn.XLOOKUP(Orders4[[#This Row],[Order ID]],Details!$A:$A,Details!$G:$G)</f>
        <v>UPI</v>
      </c>
      <c r="L340">
        <f>Orders4[[#This Row],[Amount]]/Orders4[[#This Row],[Quantity]]</f>
        <v>45.333333333333336</v>
      </c>
    </row>
    <row r="341" spans="1:12" x14ac:dyDescent="0.25">
      <c r="A341" t="s">
        <v>193</v>
      </c>
      <c r="B341" s="1">
        <v>43106</v>
      </c>
      <c r="C341" t="s">
        <v>883</v>
      </c>
      <c r="D341" t="s">
        <v>647</v>
      </c>
      <c r="E341" t="s">
        <v>647</v>
      </c>
      <c r="F341">
        <f>_xlfn.XLOOKUP(Orders4[[#This Row],[Order ID]],Details!$A:$A, Details!$B:$B)</f>
        <v>13</v>
      </c>
      <c r="G341">
        <f>_xlfn.XLOOKUP(Orders4[[#This Row],[Order ID]],Details!$A:$A,Details!C:C)</f>
        <v>3</v>
      </c>
      <c r="H341">
        <f>_xlfn.XLOOKUP(Orders4[[#This Row],[Order ID]],Details!$A:$A,Details!$D:$D)</f>
        <v>2</v>
      </c>
      <c r="I341" t="str">
        <f>_xlfn.XLOOKUP(Orders4[[#This Row],[Order ID]],Details!A:A,Details!$E:$E)</f>
        <v>Clothing</v>
      </c>
      <c r="J341" t="str">
        <f>_xlfn.XLOOKUP(Orders4[[#This Row],[Order ID]],Details!$A:$A,Details!$F:$F)</f>
        <v>Hankerchief</v>
      </c>
      <c r="K341" t="str">
        <f>_xlfn.XLOOKUP(Orders4[[#This Row],[Order ID]],Details!$A:$A,Details!$G:$G)</f>
        <v>COD</v>
      </c>
      <c r="L341">
        <f>Orders4[[#This Row],[Amount]]/Orders4[[#This Row],[Quantity]]</f>
        <v>6.5</v>
      </c>
    </row>
    <row r="342" spans="1:12" x14ac:dyDescent="0.25">
      <c r="A342" t="s">
        <v>434</v>
      </c>
      <c r="B342" s="1">
        <v>43107</v>
      </c>
      <c r="C342" t="s">
        <v>809</v>
      </c>
      <c r="D342" t="s">
        <v>584</v>
      </c>
      <c r="E342" t="s">
        <v>585</v>
      </c>
      <c r="F342">
        <f>_xlfn.XLOOKUP(Orders4[[#This Row],[Order ID]],Details!$A:$A, Details!$B:$B)</f>
        <v>177</v>
      </c>
      <c r="G342">
        <f>_xlfn.XLOOKUP(Orders4[[#This Row],[Order ID]],Details!$A:$A,Details!C:C)</f>
        <v>41</v>
      </c>
      <c r="H342">
        <f>_xlfn.XLOOKUP(Orders4[[#This Row],[Order ID]],Details!$A:$A,Details!$D:$D)</f>
        <v>4</v>
      </c>
      <c r="I342" t="str">
        <f>_xlfn.XLOOKUP(Orders4[[#This Row],[Order ID]],Details!A:A,Details!$E:$E)</f>
        <v>Clothing</v>
      </c>
      <c r="J342" t="str">
        <f>_xlfn.XLOOKUP(Orders4[[#This Row],[Order ID]],Details!$A:$A,Details!$F:$F)</f>
        <v>Shirt</v>
      </c>
      <c r="K342" t="str">
        <f>_xlfn.XLOOKUP(Orders4[[#This Row],[Order ID]],Details!$A:$A,Details!$G:$G)</f>
        <v>Debit Card</v>
      </c>
      <c r="L342">
        <f>Orders4[[#This Row],[Amount]]/Orders4[[#This Row],[Quantity]]</f>
        <v>44.25</v>
      </c>
    </row>
    <row r="343" spans="1:12" x14ac:dyDescent="0.25">
      <c r="A343" t="s">
        <v>220</v>
      </c>
      <c r="B343" s="1">
        <v>43108</v>
      </c>
      <c r="C343" t="s">
        <v>705</v>
      </c>
      <c r="D343" t="s">
        <v>554</v>
      </c>
      <c r="E343" t="s">
        <v>555</v>
      </c>
      <c r="F343">
        <f>_xlfn.XLOOKUP(Orders4[[#This Row],[Order ID]],Details!$A:$A, Details!$B:$B)</f>
        <v>646</v>
      </c>
      <c r="G343">
        <f>_xlfn.XLOOKUP(Orders4[[#This Row],[Order ID]],Details!$A:$A,Details!C:C)</f>
        <v>-23</v>
      </c>
      <c r="H343">
        <f>_xlfn.XLOOKUP(Orders4[[#This Row],[Order ID]],Details!$A:$A,Details!$D:$D)</f>
        <v>2</v>
      </c>
      <c r="I343" t="str">
        <f>_xlfn.XLOOKUP(Orders4[[#This Row],[Order ID]],Details!A:A,Details!$E:$E)</f>
        <v>Electronics</v>
      </c>
      <c r="J343" t="str">
        <f>_xlfn.XLOOKUP(Orders4[[#This Row],[Order ID]],Details!$A:$A,Details!$F:$F)</f>
        <v>Printers</v>
      </c>
      <c r="K343" t="str">
        <f>_xlfn.XLOOKUP(Orders4[[#This Row],[Order ID]],Details!$A:$A,Details!$G:$G)</f>
        <v>Credit Card</v>
      </c>
      <c r="L343">
        <f>Orders4[[#This Row],[Amount]]/Orders4[[#This Row],[Quantity]]</f>
        <v>323</v>
      </c>
    </row>
    <row r="344" spans="1:12" x14ac:dyDescent="0.25">
      <c r="A344" t="s">
        <v>72</v>
      </c>
      <c r="B344" s="1">
        <v>43109</v>
      </c>
      <c r="C344" t="s">
        <v>602</v>
      </c>
      <c r="D344" t="s">
        <v>559</v>
      </c>
      <c r="E344" t="s">
        <v>566</v>
      </c>
      <c r="F344">
        <f>_xlfn.XLOOKUP(Orders4[[#This Row],[Order ID]],Details!$A:$A, Details!$B:$B)</f>
        <v>1547</v>
      </c>
      <c r="G344">
        <f>_xlfn.XLOOKUP(Orders4[[#This Row],[Order ID]],Details!$A:$A,Details!C:C)</f>
        <v>340</v>
      </c>
      <c r="H344">
        <f>_xlfn.XLOOKUP(Orders4[[#This Row],[Order ID]],Details!$A:$A,Details!$D:$D)</f>
        <v>6</v>
      </c>
      <c r="I344" t="str">
        <f>_xlfn.XLOOKUP(Orders4[[#This Row],[Order ID]],Details!A:A,Details!$E:$E)</f>
        <v>Electronics</v>
      </c>
      <c r="J344" t="str">
        <f>_xlfn.XLOOKUP(Orders4[[#This Row],[Order ID]],Details!$A:$A,Details!$F:$F)</f>
        <v>Accessories</v>
      </c>
      <c r="K344" t="str">
        <f>_xlfn.XLOOKUP(Orders4[[#This Row],[Order ID]],Details!$A:$A,Details!$G:$G)</f>
        <v>EMI</v>
      </c>
      <c r="L344">
        <f>Orders4[[#This Row],[Amount]]/Orders4[[#This Row],[Quantity]]</f>
        <v>257.83333333333331</v>
      </c>
    </row>
    <row r="345" spans="1:12" x14ac:dyDescent="0.25">
      <c r="A345" t="s">
        <v>431</v>
      </c>
      <c r="B345" s="1">
        <v>43110</v>
      </c>
      <c r="C345" t="s">
        <v>813</v>
      </c>
      <c r="D345" t="s">
        <v>543</v>
      </c>
      <c r="E345" t="s">
        <v>551</v>
      </c>
      <c r="F345">
        <f>_xlfn.XLOOKUP(Orders4[[#This Row],[Order ID]],Details!$A:$A, Details!$B:$B)</f>
        <v>169</v>
      </c>
      <c r="G345">
        <f>_xlfn.XLOOKUP(Orders4[[#This Row],[Order ID]],Details!$A:$A,Details!C:C)</f>
        <v>38</v>
      </c>
      <c r="H345">
        <f>_xlfn.XLOOKUP(Orders4[[#This Row],[Order ID]],Details!$A:$A,Details!$D:$D)</f>
        <v>3</v>
      </c>
      <c r="I345" t="str">
        <f>_xlfn.XLOOKUP(Orders4[[#This Row],[Order ID]],Details!A:A,Details!$E:$E)</f>
        <v>Clothing</v>
      </c>
      <c r="J345" t="str">
        <f>_xlfn.XLOOKUP(Orders4[[#This Row],[Order ID]],Details!$A:$A,Details!$F:$F)</f>
        <v>Saree</v>
      </c>
      <c r="K345" t="str">
        <f>_xlfn.XLOOKUP(Orders4[[#This Row],[Order ID]],Details!$A:$A,Details!$G:$G)</f>
        <v>Debit Card</v>
      </c>
      <c r="L345">
        <f>Orders4[[#This Row],[Amount]]/Orders4[[#This Row],[Quantity]]</f>
        <v>56.333333333333336</v>
      </c>
    </row>
    <row r="346" spans="1:12" x14ac:dyDescent="0.25">
      <c r="A346" t="s">
        <v>125</v>
      </c>
      <c r="B346" s="1">
        <v>43111</v>
      </c>
      <c r="C346" t="s">
        <v>686</v>
      </c>
      <c r="D346" t="s">
        <v>546</v>
      </c>
      <c r="E346" t="s">
        <v>547</v>
      </c>
      <c r="F346">
        <f>_xlfn.XLOOKUP(Orders4[[#This Row],[Order ID]],Details!$A:$A, Details!$B:$B)</f>
        <v>765</v>
      </c>
      <c r="G346">
        <f>_xlfn.XLOOKUP(Orders4[[#This Row],[Order ID]],Details!$A:$A,Details!C:C)</f>
        <v>-36</v>
      </c>
      <c r="H346">
        <f>_xlfn.XLOOKUP(Orders4[[#This Row],[Order ID]],Details!$A:$A,Details!$D:$D)</f>
        <v>3</v>
      </c>
      <c r="I346" t="str">
        <f>_xlfn.XLOOKUP(Orders4[[#This Row],[Order ID]],Details!A:A,Details!$E:$E)</f>
        <v>Electronics</v>
      </c>
      <c r="J346" t="str">
        <f>_xlfn.XLOOKUP(Orders4[[#This Row],[Order ID]],Details!$A:$A,Details!$F:$F)</f>
        <v>Electronic Games</v>
      </c>
      <c r="K346" t="str">
        <f>_xlfn.XLOOKUP(Orders4[[#This Row],[Order ID]],Details!$A:$A,Details!$G:$G)</f>
        <v>COD</v>
      </c>
      <c r="L346">
        <f>Orders4[[#This Row],[Amount]]/Orders4[[#This Row],[Quantity]]</f>
        <v>255</v>
      </c>
    </row>
    <row r="347" spans="1:12" x14ac:dyDescent="0.25">
      <c r="A347" t="s">
        <v>414</v>
      </c>
      <c r="B347" s="1">
        <v>43112</v>
      </c>
      <c r="C347" t="s">
        <v>830</v>
      </c>
      <c r="D347" t="s">
        <v>554</v>
      </c>
      <c r="E347" t="s">
        <v>555</v>
      </c>
      <c r="F347">
        <f>_xlfn.XLOOKUP(Orders4[[#This Row],[Order ID]],Details!$A:$A, Details!$B:$B)</f>
        <v>146</v>
      </c>
      <c r="G347">
        <f>_xlfn.XLOOKUP(Orders4[[#This Row],[Order ID]],Details!$A:$A,Details!C:C)</f>
        <v>7</v>
      </c>
      <c r="H347">
        <f>_xlfn.XLOOKUP(Orders4[[#This Row],[Order ID]],Details!$A:$A,Details!$D:$D)</f>
        <v>2</v>
      </c>
      <c r="I347" t="str">
        <f>_xlfn.XLOOKUP(Orders4[[#This Row],[Order ID]],Details!A:A,Details!$E:$E)</f>
        <v>Electronics</v>
      </c>
      <c r="J347" t="str">
        <f>_xlfn.XLOOKUP(Orders4[[#This Row],[Order ID]],Details!$A:$A,Details!$F:$F)</f>
        <v>Phones</v>
      </c>
      <c r="K347" t="str">
        <f>_xlfn.XLOOKUP(Orders4[[#This Row],[Order ID]],Details!$A:$A,Details!$G:$G)</f>
        <v>Debit Card</v>
      </c>
      <c r="L347">
        <f>Orders4[[#This Row],[Amount]]/Orders4[[#This Row],[Quantity]]</f>
        <v>73</v>
      </c>
    </row>
    <row r="348" spans="1:12" x14ac:dyDescent="0.25">
      <c r="A348" t="s">
        <v>449</v>
      </c>
      <c r="B348" s="1">
        <v>43113</v>
      </c>
      <c r="C348" t="s">
        <v>778</v>
      </c>
      <c r="D348" t="s">
        <v>559</v>
      </c>
      <c r="E348" t="s">
        <v>566</v>
      </c>
      <c r="F348">
        <f>_xlfn.XLOOKUP(Orders4[[#This Row],[Order ID]],Details!$A:$A, Details!$B:$B)</f>
        <v>290</v>
      </c>
      <c r="G348">
        <f>_xlfn.XLOOKUP(Orders4[[#This Row],[Order ID]],Details!$A:$A,Details!C:C)</f>
        <v>35</v>
      </c>
      <c r="H348">
        <f>_xlfn.XLOOKUP(Orders4[[#This Row],[Order ID]],Details!$A:$A,Details!$D:$D)</f>
        <v>6</v>
      </c>
      <c r="I348" t="str">
        <f>_xlfn.XLOOKUP(Orders4[[#This Row],[Order ID]],Details!A:A,Details!$E:$E)</f>
        <v>Clothing</v>
      </c>
      <c r="J348" t="str">
        <f>_xlfn.XLOOKUP(Orders4[[#This Row],[Order ID]],Details!$A:$A,Details!$F:$F)</f>
        <v>Hankerchief</v>
      </c>
      <c r="K348" t="str">
        <f>_xlfn.XLOOKUP(Orders4[[#This Row],[Order ID]],Details!$A:$A,Details!$G:$G)</f>
        <v>COD</v>
      </c>
      <c r="L348">
        <f>Orders4[[#This Row],[Amount]]/Orders4[[#This Row],[Quantity]]</f>
        <v>48.333333333333336</v>
      </c>
    </row>
    <row r="349" spans="1:12" x14ac:dyDescent="0.25">
      <c r="A349" t="s">
        <v>334</v>
      </c>
      <c r="B349" s="1">
        <v>43113</v>
      </c>
      <c r="C349" t="s">
        <v>823</v>
      </c>
      <c r="D349" t="s">
        <v>543</v>
      </c>
      <c r="E349" t="s">
        <v>551</v>
      </c>
      <c r="F349">
        <f>_xlfn.XLOOKUP(Orders4[[#This Row],[Order ID]],Details!$A:$A, Details!$B:$B)</f>
        <v>152</v>
      </c>
      <c r="G349">
        <f>_xlfn.XLOOKUP(Orders4[[#This Row],[Order ID]],Details!$A:$A,Details!C:C)</f>
        <v>23</v>
      </c>
      <c r="H349">
        <f>_xlfn.XLOOKUP(Orders4[[#This Row],[Order ID]],Details!$A:$A,Details!$D:$D)</f>
        <v>3</v>
      </c>
      <c r="I349" t="str">
        <f>_xlfn.XLOOKUP(Orders4[[#This Row],[Order ID]],Details!A:A,Details!$E:$E)</f>
        <v>Furniture</v>
      </c>
      <c r="J349" t="str">
        <f>_xlfn.XLOOKUP(Orders4[[#This Row],[Order ID]],Details!$A:$A,Details!$F:$F)</f>
        <v>Furnishings</v>
      </c>
      <c r="K349" t="str">
        <f>_xlfn.XLOOKUP(Orders4[[#This Row],[Order ID]],Details!$A:$A,Details!$G:$G)</f>
        <v>COD</v>
      </c>
      <c r="L349">
        <f>Orders4[[#This Row],[Amount]]/Orders4[[#This Row],[Quantity]]</f>
        <v>50.666666666666664</v>
      </c>
    </row>
    <row r="350" spans="1:12" x14ac:dyDescent="0.25">
      <c r="A350" t="s">
        <v>383</v>
      </c>
      <c r="B350" s="1">
        <v>43113</v>
      </c>
      <c r="C350" t="s">
        <v>824</v>
      </c>
      <c r="D350" t="s">
        <v>543</v>
      </c>
      <c r="E350" t="s">
        <v>544</v>
      </c>
      <c r="F350">
        <f>_xlfn.XLOOKUP(Orders4[[#This Row],[Order ID]],Details!$A:$A, Details!$B:$B)</f>
        <v>151</v>
      </c>
      <c r="G350">
        <f>_xlfn.XLOOKUP(Orders4[[#This Row],[Order ID]],Details!$A:$A,Details!C:C)</f>
        <v>9</v>
      </c>
      <c r="H350">
        <f>_xlfn.XLOOKUP(Orders4[[#This Row],[Order ID]],Details!$A:$A,Details!$D:$D)</f>
        <v>3</v>
      </c>
      <c r="I350" t="str">
        <f>_xlfn.XLOOKUP(Orders4[[#This Row],[Order ID]],Details!A:A,Details!$E:$E)</f>
        <v>Clothing</v>
      </c>
      <c r="J350" t="str">
        <f>_xlfn.XLOOKUP(Orders4[[#This Row],[Order ID]],Details!$A:$A,Details!$F:$F)</f>
        <v>Hankerchief</v>
      </c>
      <c r="K350" t="str">
        <f>_xlfn.XLOOKUP(Orders4[[#This Row],[Order ID]],Details!$A:$A,Details!$G:$G)</f>
        <v>EMI</v>
      </c>
      <c r="L350">
        <f>Orders4[[#This Row],[Amount]]/Orders4[[#This Row],[Quantity]]</f>
        <v>50.333333333333336</v>
      </c>
    </row>
    <row r="351" spans="1:12" x14ac:dyDescent="0.25">
      <c r="A351" t="s">
        <v>46</v>
      </c>
      <c r="B351" s="1">
        <v>43113</v>
      </c>
      <c r="C351" t="s">
        <v>591</v>
      </c>
      <c r="D351" t="s">
        <v>546</v>
      </c>
      <c r="E351" t="s">
        <v>547</v>
      </c>
      <c r="F351">
        <f>_xlfn.XLOOKUP(Orders4[[#This Row],[Order ID]],Details!$A:$A, Details!$B:$B)</f>
        <v>1622</v>
      </c>
      <c r="G351">
        <f>_xlfn.XLOOKUP(Orders4[[#This Row],[Order ID]],Details!$A:$A,Details!C:C)</f>
        <v>95</v>
      </c>
      <c r="H351">
        <f>_xlfn.XLOOKUP(Orders4[[#This Row],[Order ID]],Details!$A:$A,Details!$D:$D)</f>
        <v>5</v>
      </c>
      <c r="I351" t="str">
        <f>_xlfn.XLOOKUP(Orders4[[#This Row],[Order ID]],Details!A:A,Details!$E:$E)</f>
        <v>Electronics</v>
      </c>
      <c r="J351" t="str">
        <f>_xlfn.XLOOKUP(Orders4[[#This Row],[Order ID]],Details!$A:$A,Details!$F:$F)</f>
        <v>Printers</v>
      </c>
      <c r="K351" t="str">
        <f>_xlfn.XLOOKUP(Orders4[[#This Row],[Order ID]],Details!$A:$A,Details!$G:$G)</f>
        <v>Credit Card</v>
      </c>
      <c r="L351">
        <f>Orders4[[#This Row],[Amount]]/Orders4[[#This Row],[Quantity]]</f>
        <v>324.39999999999998</v>
      </c>
    </row>
    <row r="352" spans="1:12" x14ac:dyDescent="0.25">
      <c r="A352" t="s">
        <v>179</v>
      </c>
      <c r="B352" s="1">
        <v>43113</v>
      </c>
      <c r="C352" t="s">
        <v>689</v>
      </c>
      <c r="D352" t="s">
        <v>618</v>
      </c>
      <c r="E352" t="s">
        <v>619</v>
      </c>
      <c r="F352">
        <f>_xlfn.XLOOKUP(Orders4[[#This Row],[Order ID]],Details!$A:$A, Details!$B:$B)</f>
        <v>742</v>
      </c>
      <c r="G352">
        <f>_xlfn.XLOOKUP(Orders4[[#This Row],[Order ID]],Details!$A:$A,Details!C:C)</f>
        <v>198</v>
      </c>
      <c r="H352">
        <f>_xlfn.XLOOKUP(Orders4[[#This Row],[Order ID]],Details!$A:$A,Details!$D:$D)</f>
        <v>2</v>
      </c>
      <c r="I352" t="str">
        <f>_xlfn.XLOOKUP(Orders4[[#This Row],[Order ID]],Details!A:A,Details!$E:$E)</f>
        <v>Furniture</v>
      </c>
      <c r="J352" t="str">
        <f>_xlfn.XLOOKUP(Orders4[[#This Row],[Order ID]],Details!$A:$A,Details!$F:$F)</f>
        <v>Bookcases</v>
      </c>
      <c r="K352" t="str">
        <f>_xlfn.XLOOKUP(Orders4[[#This Row],[Order ID]],Details!$A:$A,Details!$G:$G)</f>
        <v>Credit Card</v>
      </c>
      <c r="L352">
        <f>Orders4[[#This Row],[Amount]]/Orders4[[#This Row],[Quantity]]</f>
        <v>371</v>
      </c>
    </row>
    <row r="353" spans="1:12" x14ac:dyDescent="0.25">
      <c r="A353" t="s">
        <v>133</v>
      </c>
      <c r="B353" s="1">
        <v>43113</v>
      </c>
      <c r="C353" t="s">
        <v>610</v>
      </c>
      <c r="D353" t="s">
        <v>546</v>
      </c>
      <c r="E353" t="s">
        <v>547</v>
      </c>
      <c r="F353">
        <f>_xlfn.XLOOKUP(Orders4[[#This Row],[Order ID]],Details!$A:$A, Details!$B:$B)</f>
        <v>14</v>
      </c>
      <c r="G353">
        <f>_xlfn.XLOOKUP(Orders4[[#This Row],[Order ID]],Details!$A:$A,Details!C:C)</f>
        <v>0</v>
      </c>
      <c r="H353">
        <f>_xlfn.XLOOKUP(Orders4[[#This Row],[Order ID]],Details!$A:$A,Details!$D:$D)</f>
        <v>4</v>
      </c>
      <c r="I353" t="str">
        <f>_xlfn.XLOOKUP(Orders4[[#This Row],[Order ID]],Details!A:A,Details!$E:$E)</f>
        <v>Clothing</v>
      </c>
      <c r="J353" t="str">
        <f>_xlfn.XLOOKUP(Orders4[[#This Row],[Order ID]],Details!$A:$A,Details!$F:$F)</f>
        <v>Hankerchief</v>
      </c>
      <c r="K353" t="str">
        <f>_xlfn.XLOOKUP(Orders4[[#This Row],[Order ID]],Details!$A:$A,Details!$G:$G)</f>
        <v>UPI</v>
      </c>
      <c r="L353">
        <f>Orders4[[#This Row],[Amount]]/Orders4[[#This Row],[Quantity]]</f>
        <v>3.5</v>
      </c>
    </row>
    <row r="354" spans="1:12" x14ac:dyDescent="0.25">
      <c r="A354" t="s">
        <v>132</v>
      </c>
      <c r="B354" s="1">
        <v>43114</v>
      </c>
      <c r="C354" t="s">
        <v>639</v>
      </c>
      <c r="D354" t="s">
        <v>554</v>
      </c>
      <c r="E354" t="s">
        <v>555</v>
      </c>
      <c r="F354">
        <f>_xlfn.XLOOKUP(Orders4[[#This Row],[Order ID]],Details!$A:$A, Details!$B:$B)</f>
        <v>744</v>
      </c>
      <c r="G354">
        <f>_xlfn.XLOOKUP(Orders4[[#This Row],[Order ID]],Details!$A:$A,Details!C:C)</f>
        <v>119</v>
      </c>
      <c r="H354">
        <f>_xlfn.XLOOKUP(Orders4[[#This Row],[Order ID]],Details!$A:$A,Details!$D:$D)</f>
        <v>6</v>
      </c>
      <c r="I354" t="str">
        <f>_xlfn.XLOOKUP(Orders4[[#This Row],[Order ID]],Details!A:A,Details!$E:$E)</f>
        <v>Electronics</v>
      </c>
      <c r="J354" t="str">
        <f>_xlfn.XLOOKUP(Orders4[[#This Row],[Order ID]],Details!$A:$A,Details!$F:$F)</f>
        <v>Printers</v>
      </c>
      <c r="K354" t="str">
        <f>_xlfn.XLOOKUP(Orders4[[#This Row],[Order ID]],Details!$A:$A,Details!$G:$G)</f>
        <v>COD</v>
      </c>
      <c r="L354">
        <f>Orders4[[#This Row],[Amount]]/Orders4[[#This Row],[Quantity]]</f>
        <v>124</v>
      </c>
    </row>
    <row r="355" spans="1:12" x14ac:dyDescent="0.25">
      <c r="A355" t="s">
        <v>328</v>
      </c>
      <c r="B355" s="1">
        <v>43114</v>
      </c>
      <c r="C355" t="s">
        <v>666</v>
      </c>
      <c r="D355" t="s">
        <v>559</v>
      </c>
      <c r="E355" t="s">
        <v>566</v>
      </c>
      <c r="F355">
        <f>_xlfn.XLOOKUP(Orders4[[#This Row],[Order ID]],Details!$A:$A, Details!$B:$B)</f>
        <v>27</v>
      </c>
      <c r="G355">
        <f>_xlfn.XLOOKUP(Orders4[[#This Row],[Order ID]],Details!$A:$A,Details!C:C)</f>
        <v>0</v>
      </c>
      <c r="H355">
        <f>_xlfn.XLOOKUP(Orders4[[#This Row],[Order ID]],Details!$A:$A,Details!$D:$D)</f>
        <v>2</v>
      </c>
      <c r="I355" t="str">
        <f>_xlfn.XLOOKUP(Orders4[[#This Row],[Order ID]],Details!A:A,Details!$E:$E)</f>
        <v>Clothing</v>
      </c>
      <c r="J355" t="str">
        <f>_xlfn.XLOOKUP(Orders4[[#This Row],[Order ID]],Details!$A:$A,Details!$F:$F)</f>
        <v>Leggings</v>
      </c>
      <c r="K355" t="str">
        <f>_xlfn.XLOOKUP(Orders4[[#This Row],[Order ID]],Details!$A:$A,Details!$G:$G)</f>
        <v>COD</v>
      </c>
      <c r="L355">
        <f>Orders4[[#This Row],[Amount]]/Orders4[[#This Row],[Quantity]]</f>
        <v>13.5</v>
      </c>
    </row>
    <row r="356" spans="1:12" x14ac:dyDescent="0.25">
      <c r="A356" t="s">
        <v>15</v>
      </c>
      <c r="B356" s="1">
        <v>43116</v>
      </c>
      <c r="C356" t="s">
        <v>550</v>
      </c>
      <c r="D356" t="s">
        <v>543</v>
      </c>
      <c r="E356" t="s">
        <v>551</v>
      </c>
      <c r="F356">
        <f>_xlfn.XLOOKUP(Orders4[[#This Row],[Order ID]],Details!$A:$A, Details!$B:$B)</f>
        <v>2927</v>
      </c>
      <c r="G356">
        <f>_xlfn.XLOOKUP(Orders4[[#This Row],[Order ID]],Details!$A:$A,Details!C:C)</f>
        <v>146</v>
      </c>
      <c r="H356">
        <f>_xlfn.XLOOKUP(Orders4[[#This Row],[Order ID]],Details!$A:$A,Details!$D:$D)</f>
        <v>8</v>
      </c>
      <c r="I356" t="str">
        <f>_xlfn.XLOOKUP(Orders4[[#This Row],[Order ID]],Details!A:A,Details!$E:$E)</f>
        <v>Furniture</v>
      </c>
      <c r="J356" t="str">
        <f>_xlfn.XLOOKUP(Orders4[[#This Row],[Order ID]],Details!$A:$A,Details!$F:$F)</f>
        <v>Bookcases</v>
      </c>
      <c r="K356" t="str">
        <f>_xlfn.XLOOKUP(Orders4[[#This Row],[Order ID]],Details!$A:$A,Details!$G:$G)</f>
        <v>EMI</v>
      </c>
      <c r="L356">
        <f>Orders4[[#This Row],[Amount]]/Orders4[[#This Row],[Quantity]]</f>
        <v>365.875</v>
      </c>
    </row>
    <row r="357" spans="1:12" x14ac:dyDescent="0.25">
      <c r="A357" t="s">
        <v>394</v>
      </c>
      <c r="B357" s="1">
        <v>43117</v>
      </c>
      <c r="C357" t="s">
        <v>660</v>
      </c>
      <c r="D357" t="s">
        <v>543</v>
      </c>
      <c r="E357" t="s">
        <v>544</v>
      </c>
      <c r="F357">
        <f>_xlfn.XLOOKUP(Orders4[[#This Row],[Order ID]],Details!$A:$A, Details!$B:$B)</f>
        <v>89</v>
      </c>
      <c r="G357">
        <f>_xlfn.XLOOKUP(Orders4[[#This Row],[Order ID]],Details!$A:$A,Details!C:C)</f>
        <v>-37</v>
      </c>
      <c r="H357">
        <f>_xlfn.XLOOKUP(Orders4[[#This Row],[Order ID]],Details!$A:$A,Details!$D:$D)</f>
        <v>4</v>
      </c>
      <c r="I357" t="str">
        <f>_xlfn.XLOOKUP(Orders4[[#This Row],[Order ID]],Details!A:A,Details!$E:$E)</f>
        <v>Clothing</v>
      </c>
      <c r="J357" t="str">
        <f>_xlfn.XLOOKUP(Orders4[[#This Row],[Order ID]],Details!$A:$A,Details!$F:$F)</f>
        <v>Shirt</v>
      </c>
      <c r="K357" t="str">
        <f>_xlfn.XLOOKUP(Orders4[[#This Row],[Order ID]],Details!$A:$A,Details!$G:$G)</f>
        <v>COD</v>
      </c>
      <c r="L357">
        <f>Orders4[[#This Row],[Amount]]/Orders4[[#This Row],[Quantity]]</f>
        <v>22.25</v>
      </c>
    </row>
    <row r="358" spans="1:12" x14ac:dyDescent="0.25">
      <c r="A358" t="s">
        <v>105</v>
      </c>
      <c r="B358" s="1">
        <v>43118</v>
      </c>
      <c r="C358" t="s">
        <v>641</v>
      </c>
      <c r="D358" t="s">
        <v>546</v>
      </c>
      <c r="E358" t="s">
        <v>547</v>
      </c>
      <c r="F358">
        <f>_xlfn.XLOOKUP(Orders4[[#This Row],[Order ID]],Details!$A:$A, Details!$B:$B)</f>
        <v>147</v>
      </c>
      <c r="G358">
        <f>_xlfn.XLOOKUP(Orders4[[#This Row],[Order ID]],Details!$A:$A,Details!C:C)</f>
        <v>73</v>
      </c>
      <c r="H358">
        <f>_xlfn.XLOOKUP(Orders4[[#This Row],[Order ID]],Details!$A:$A,Details!$D:$D)</f>
        <v>3</v>
      </c>
      <c r="I358" t="str">
        <f>_xlfn.XLOOKUP(Orders4[[#This Row],[Order ID]],Details!A:A,Details!$E:$E)</f>
        <v>Clothing</v>
      </c>
      <c r="J358" t="str">
        <f>_xlfn.XLOOKUP(Orders4[[#This Row],[Order ID]],Details!$A:$A,Details!$F:$F)</f>
        <v>Stole</v>
      </c>
      <c r="K358" t="str">
        <f>_xlfn.XLOOKUP(Orders4[[#This Row],[Order ID]],Details!$A:$A,Details!$G:$G)</f>
        <v>COD</v>
      </c>
      <c r="L358">
        <f>Orders4[[#This Row],[Amount]]/Orders4[[#This Row],[Quantity]]</f>
        <v>49</v>
      </c>
    </row>
    <row r="359" spans="1:12" x14ac:dyDescent="0.25">
      <c r="A359" t="s">
        <v>370</v>
      </c>
      <c r="B359" s="1">
        <v>43118</v>
      </c>
      <c r="C359" t="s">
        <v>760</v>
      </c>
      <c r="D359" t="s">
        <v>618</v>
      </c>
      <c r="E359" t="s">
        <v>619</v>
      </c>
      <c r="F359">
        <f>_xlfn.XLOOKUP(Orders4[[#This Row],[Order ID]],Details!$A:$A, Details!$B:$B)</f>
        <v>105</v>
      </c>
      <c r="G359">
        <f>_xlfn.XLOOKUP(Orders4[[#This Row],[Order ID]],Details!$A:$A,Details!C:C)</f>
        <v>25</v>
      </c>
      <c r="H359">
        <f>_xlfn.XLOOKUP(Orders4[[#This Row],[Order ID]],Details!$A:$A,Details!$D:$D)</f>
        <v>2</v>
      </c>
      <c r="I359" t="str">
        <f>_xlfn.XLOOKUP(Orders4[[#This Row],[Order ID]],Details!A:A,Details!$E:$E)</f>
        <v>Clothing</v>
      </c>
      <c r="J359" t="str">
        <f>_xlfn.XLOOKUP(Orders4[[#This Row],[Order ID]],Details!$A:$A,Details!$F:$F)</f>
        <v>Hankerchief</v>
      </c>
      <c r="K359" t="str">
        <f>_xlfn.XLOOKUP(Orders4[[#This Row],[Order ID]],Details!$A:$A,Details!$G:$G)</f>
        <v>EMI</v>
      </c>
      <c r="L359">
        <f>Orders4[[#This Row],[Amount]]/Orders4[[#This Row],[Quantity]]</f>
        <v>52.5</v>
      </c>
    </row>
    <row r="360" spans="1:12" x14ac:dyDescent="0.25">
      <c r="A360" t="s">
        <v>157</v>
      </c>
      <c r="B360" s="1">
        <v>43118</v>
      </c>
      <c r="C360" t="s">
        <v>700</v>
      </c>
      <c r="D360" t="s">
        <v>546</v>
      </c>
      <c r="E360" t="s">
        <v>547</v>
      </c>
      <c r="F360">
        <f>_xlfn.XLOOKUP(Orders4[[#This Row],[Order ID]],Details!$A:$A, Details!$B:$B)</f>
        <v>681</v>
      </c>
      <c r="G360">
        <f>_xlfn.XLOOKUP(Orders4[[#This Row],[Order ID]],Details!$A:$A,Details!C:C)</f>
        <v>259</v>
      </c>
      <c r="H360">
        <f>_xlfn.XLOOKUP(Orders4[[#This Row],[Order ID]],Details!$A:$A,Details!$D:$D)</f>
        <v>4</v>
      </c>
      <c r="I360" t="str">
        <f>_xlfn.XLOOKUP(Orders4[[#This Row],[Order ID]],Details!A:A,Details!$E:$E)</f>
        <v>Furniture</v>
      </c>
      <c r="J360" t="str">
        <f>_xlfn.XLOOKUP(Orders4[[#This Row],[Order ID]],Details!$A:$A,Details!$F:$F)</f>
        <v>Chairs</v>
      </c>
      <c r="K360" t="str">
        <f>_xlfn.XLOOKUP(Orders4[[#This Row],[Order ID]],Details!$A:$A,Details!$G:$G)</f>
        <v>COD</v>
      </c>
      <c r="L360">
        <f>Orders4[[#This Row],[Amount]]/Orders4[[#This Row],[Quantity]]</f>
        <v>170.25</v>
      </c>
    </row>
    <row r="361" spans="1:12" x14ac:dyDescent="0.25">
      <c r="A361" t="s">
        <v>364</v>
      </c>
      <c r="B361" s="1">
        <v>43118</v>
      </c>
      <c r="C361" t="s">
        <v>660</v>
      </c>
      <c r="D361" t="s">
        <v>554</v>
      </c>
      <c r="E361" t="s">
        <v>555</v>
      </c>
      <c r="F361">
        <f>_xlfn.XLOOKUP(Orders4[[#This Row],[Order ID]],Details!$A:$A, Details!$B:$B)</f>
        <v>171</v>
      </c>
      <c r="G361">
        <f>_xlfn.XLOOKUP(Orders4[[#This Row],[Order ID]],Details!$A:$A,Details!C:C)</f>
        <v>-140</v>
      </c>
      <c r="H361">
        <f>_xlfn.XLOOKUP(Orders4[[#This Row],[Order ID]],Details!$A:$A,Details!$D:$D)</f>
        <v>2</v>
      </c>
      <c r="I361" t="str">
        <f>_xlfn.XLOOKUP(Orders4[[#This Row],[Order ID]],Details!A:A,Details!$E:$E)</f>
        <v>Furniture</v>
      </c>
      <c r="J361" t="str">
        <f>_xlfn.XLOOKUP(Orders4[[#This Row],[Order ID]],Details!$A:$A,Details!$F:$F)</f>
        <v>Bookcases</v>
      </c>
      <c r="K361" t="str">
        <f>_xlfn.XLOOKUP(Orders4[[#This Row],[Order ID]],Details!$A:$A,Details!$G:$G)</f>
        <v>EMI</v>
      </c>
      <c r="L361">
        <f>Orders4[[#This Row],[Amount]]/Orders4[[#This Row],[Quantity]]</f>
        <v>85.5</v>
      </c>
    </row>
    <row r="362" spans="1:12" x14ac:dyDescent="0.25">
      <c r="A362" t="s">
        <v>209</v>
      </c>
      <c r="B362" s="1">
        <v>43118</v>
      </c>
      <c r="C362" t="s">
        <v>745</v>
      </c>
      <c r="D362" t="s">
        <v>559</v>
      </c>
      <c r="E362" t="s">
        <v>566</v>
      </c>
      <c r="F362">
        <f>_xlfn.XLOOKUP(Orders4[[#This Row],[Order ID]],Details!$A:$A, Details!$B:$B)</f>
        <v>446</v>
      </c>
      <c r="G362">
        <f>_xlfn.XLOOKUP(Orders4[[#This Row],[Order ID]],Details!$A:$A,Details!C:C)</f>
        <v>53</v>
      </c>
      <c r="H362">
        <f>_xlfn.XLOOKUP(Orders4[[#This Row],[Order ID]],Details!$A:$A,Details!$D:$D)</f>
        <v>3</v>
      </c>
      <c r="I362" t="str">
        <f>_xlfn.XLOOKUP(Orders4[[#This Row],[Order ID]],Details!A:A,Details!$E:$E)</f>
        <v>Electronics</v>
      </c>
      <c r="J362" t="str">
        <f>_xlfn.XLOOKUP(Orders4[[#This Row],[Order ID]],Details!$A:$A,Details!$F:$F)</f>
        <v>Printers</v>
      </c>
      <c r="K362" t="str">
        <f>_xlfn.XLOOKUP(Orders4[[#This Row],[Order ID]],Details!$A:$A,Details!$G:$G)</f>
        <v>COD</v>
      </c>
      <c r="L362">
        <f>Orders4[[#This Row],[Amount]]/Orders4[[#This Row],[Quantity]]</f>
        <v>148.66666666666666</v>
      </c>
    </row>
    <row r="363" spans="1:12" x14ac:dyDescent="0.25">
      <c r="A363" t="s">
        <v>177</v>
      </c>
      <c r="B363" s="1">
        <v>43119</v>
      </c>
      <c r="C363" t="s">
        <v>724</v>
      </c>
      <c r="D363" t="s">
        <v>543</v>
      </c>
      <c r="E363" t="s">
        <v>551</v>
      </c>
      <c r="F363">
        <f>_xlfn.XLOOKUP(Orders4[[#This Row],[Order ID]],Details!$A:$A, Details!$B:$B)</f>
        <v>544</v>
      </c>
      <c r="G363">
        <f>_xlfn.XLOOKUP(Orders4[[#This Row],[Order ID]],Details!$A:$A,Details!C:C)</f>
        <v>-152</v>
      </c>
      <c r="H363">
        <f>_xlfn.XLOOKUP(Orders4[[#This Row],[Order ID]],Details!$A:$A,Details!$D:$D)</f>
        <v>3</v>
      </c>
      <c r="I363" t="str">
        <f>_xlfn.XLOOKUP(Orders4[[#This Row],[Order ID]],Details!A:A,Details!$E:$E)</f>
        <v>Furniture</v>
      </c>
      <c r="J363" t="str">
        <f>_xlfn.XLOOKUP(Orders4[[#This Row],[Order ID]],Details!$A:$A,Details!$F:$F)</f>
        <v>Bookcases</v>
      </c>
      <c r="K363" t="str">
        <f>_xlfn.XLOOKUP(Orders4[[#This Row],[Order ID]],Details!$A:$A,Details!$G:$G)</f>
        <v>COD</v>
      </c>
      <c r="L363">
        <f>Orders4[[#This Row],[Amount]]/Orders4[[#This Row],[Quantity]]</f>
        <v>181.33333333333334</v>
      </c>
    </row>
    <row r="364" spans="1:12" x14ac:dyDescent="0.25">
      <c r="A364" t="s">
        <v>399</v>
      </c>
      <c r="B364" s="1">
        <v>43119</v>
      </c>
      <c r="C364" t="s">
        <v>884</v>
      </c>
      <c r="D364" t="s">
        <v>543</v>
      </c>
      <c r="E364" t="s">
        <v>544</v>
      </c>
      <c r="F364">
        <f>_xlfn.XLOOKUP(Orders4[[#This Row],[Order ID]],Details!$A:$A, Details!$B:$B)</f>
        <v>53</v>
      </c>
      <c r="G364">
        <f>_xlfn.XLOOKUP(Orders4[[#This Row],[Order ID]],Details!$A:$A,Details!C:C)</f>
        <v>8</v>
      </c>
      <c r="H364">
        <f>_xlfn.XLOOKUP(Orders4[[#This Row],[Order ID]],Details!$A:$A,Details!$D:$D)</f>
        <v>3</v>
      </c>
      <c r="I364" t="str">
        <f>_xlfn.XLOOKUP(Orders4[[#This Row],[Order ID]],Details!A:A,Details!$E:$E)</f>
        <v>Furniture</v>
      </c>
      <c r="J364" t="str">
        <f>_xlfn.XLOOKUP(Orders4[[#This Row],[Order ID]],Details!$A:$A,Details!$F:$F)</f>
        <v>Furnishings</v>
      </c>
      <c r="K364" t="str">
        <f>_xlfn.XLOOKUP(Orders4[[#This Row],[Order ID]],Details!$A:$A,Details!$G:$G)</f>
        <v>UPI</v>
      </c>
      <c r="L364">
        <f>Orders4[[#This Row],[Amount]]/Orders4[[#This Row],[Quantity]]</f>
        <v>17.666666666666668</v>
      </c>
    </row>
    <row r="365" spans="1:12" x14ac:dyDescent="0.25">
      <c r="A365" t="s">
        <v>235</v>
      </c>
      <c r="B365" s="1">
        <v>43120</v>
      </c>
      <c r="C365" t="s">
        <v>633</v>
      </c>
      <c r="D365" t="s">
        <v>543</v>
      </c>
      <c r="E365" t="s">
        <v>551</v>
      </c>
      <c r="F365">
        <f>_xlfn.XLOOKUP(Orders4[[#This Row],[Order ID]],Details!$A:$A, Details!$B:$B)</f>
        <v>346</v>
      </c>
      <c r="G365">
        <f>_xlfn.XLOOKUP(Orders4[[#This Row],[Order ID]],Details!$A:$A,Details!C:C)</f>
        <v>108</v>
      </c>
      <c r="H365">
        <f>_xlfn.XLOOKUP(Orders4[[#This Row],[Order ID]],Details!$A:$A,Details!$D:$D)</f>
        <v>3</v>
      </c>
      <c r="I365" t="str">
        <f>_xlfn.XLOOKUP(Orders4[[#This Row],[Order ID]],Details!A:A,Details!$E:$E)</f>
        <v>Furniture</v>
      </c>
      <c r="J365" t="str">
        <f>_xlfn.XLOOKUP(Orders4[[#This Row],[Order ID]],Details!$A:$A,Details!$F:$F)</f>
        <v>Chairs</v>
      </c>
      <c r="K365" t="str">
        <f>_xlfn.XLOOKUP(Orders4[[#This Row],[Order ID]],Details!$A:$A,Details!$G:$G)</f>
        <v>COD</v>
      </c>
      <c r="L365">
        <f>Orders4[[#This Row],[Amount]]/Orders4[[#This Row],[Quantity]]</f>
        <v>115.33333333333333</v>
      </c>
    </row>
    <row r="366" spans="1:12" x14ac:dyDescent="0.25">
      <c r="A366" t="s">
        <v>93</v>
      </c>
      <c r="B366" s="1">
        <v>43121</v>
      </c>
      <c r="C366" t="s">
        <v>907</v>
      </c>
      <c r="D366" t="s">
        <v>618</v>
      </c>
      <c r="E366" t="s">
        <v>619</v>
      </c>
      <c r="F366">
        <f>_xlfn.XLOOKUP(Orders4[[#This Row],[Order ID]],Details!$A:$A, Details!$B:$B)</f>
        <v>17</v>
      </c>
      <c r="G366">
        <f>_xlfn.XLOOKUP(Orders4[[#This Row],[Order ID]],Details!$A:$A,Details!C:C)</f>
        <v>7</v>
      </c>
      <c r="H366">
        <f>_xlfn.XLOOKUP(Orders4[[#This Row],[Order ID]],Details!$A:$A,Details!$D:$D)</f>
        <v>3</v>
      </c>
      <c r="I366" t="str">
        <f>_xlfn.XLOOKUP(Orders4[[#This Row],[Order ID]],Details!A:A,Details!$E:$E)</f>
        <v>Clothing</v>
      </c>
      <c r="J366" t="str">
        <f>_xlfn.XLOOKUP(Orders4[[#This Row],[Order ID]],Details!$A:$A,Details!$F:$F)</f>
        <v>Hankerchief</v>
      </c>
      <c r="K366" t="str">
        <f>_xlfn.XLOOKUP(Orders4[[#This Row],[Order ID]],Details!$A:$A,Details!$G:$G)</f>
        <v>Debit Card</v>
      </c>
      <c r="L366">
        <f>Orders4[[#This Row],[Amount]]/Orders4[[#This Row],[Quantity]]</f>
        <v>5.666666666666667</v>
      </c>
    </row>
    <row r="367" spans="1:12" x14ac:dyDescent="0.25">
      <c r="A367" t="s">
        <v>232</v>
      </c>
      <c r="B367" s="1">
        <v>43121</v>
      </c>
      <c r="C367" t="s">
        <v>731</v>
      </c>
      <c r="D367" t="s">
        <v>595</v>
      </c>
      <c r="E367" t="s">
        <v>596</v>
      </c>
      <c r="F367">
        <f>_xlfn.XLOOKUP(Orders4[[#This Row],[Order ID]],Details!$A:$A, Details!$B:$B)</f>
        <v>510</v>
      </c>
      <c r="G367">
        <f>_xlfn.XLOOKUP(Orders4[[#This Row],[Order ID]],Details!$A:$A,Details!C:C)</f>
        <v>234</v>
      </c>
      <c r="H367">
        <f>_xlfn.XLOOKUP(Orders4[[#This Row],[Order ID]],Details!$A:$A,Details!$D:$D)</f>
        <v>6</v>
      </c>
      <c r="I367" t="str">
        <f>_xlfn.XLOOKUP(Orders4[[#This Row],[Order ID]],Details!A:A,Details!$E:$E)</f>
        <v>Electronics</v>
      </c>
      <c r="J367" t="str">
        <f>_xlfn.XLOOKUP(Orders4[[#This Row],[Order ID]],Details!$A:$A,Details!$F:$F)</f>
        <v>Electronic Games</v>
      </c>
      <c r="K367" t="str">
        <f>_xlfn.XLOOKUP(Orders4[[#This Row],[Order ID]],Details!$A:$A,Details!$G:$G)</f>
        <v>EMI</v>
      </c>
      <c r="L367">
        <f>Orders4[[#This Row],[Amount]]/Orders4[[#This Row],[Quantity]]</f>
        <v>85</v>
      </c>
    </row>
    <row r="368" spans="1:12" x14ac:dyDescent="0.25">
      <c r="A368" t="s">
        <v>94</v>
      </c>
      <c r="B368" s="1">
        <v>43121</v>
      </c>
      <c r="C368" t="s">
        <v>548</v>
      </c>
      <c r="D368" t="s">
        <v>537</v>
      </c>
      <c r="E368" t="s">
        <v>549</v>
      </c>
      <c r="F368">
        <f>_xlfn.XLOOKUP(Orders4[[#This Row],[Order ID]],Details!$A:$A, Details!$B:$B)</f>
        <v>17</v>
      </c>
      <c r="G368">
        <f>_xlfn.XLOOKUP(Orders4[[#This Row],[Order ID]],Details!$A:$A,Details!C:C)</f>
        <v>2</v>
      </c>
      <c r="H368">
        <f>_xlfn.XLOOKUP(Orders4[[#This Row],[Order ID]],Details!$A:$A,Details!$D:$D)</f>
        <v>2</v>
      </c>
      <c r="I368" t="str">
        <f>_xlfn.XLOOKUP(Orders4[[#This Row],[Order ID]],Details!A:A,Details!$E:$E)</f>
        <v>Clothing</v>
      </c>
      <c r="J368" t="str">
        <f>_xlfn.XLOOKUP(Orders4[[#This Row],[Order ID]],Details!$A:$A,Details!$F:$F)</f>
        <v>Skirt</v>
      </c>
      <c r="K368" t="str">
        <f>_xlfn.XLOOKUP(Orders4[[#This Row],[Order ID]],Details!$A:$A,Details!$G:$G)</f>
        <v>Debit Card</v>
      </c>
      <c r="L368">
        <f>Orders4[[#This Row],[Amount]]/Orders4[[#This Row],[Quantity]]</f>
        <v>8.5</v>
      </c>
    </row>
    <row r="369" spans="1:12" x14ac:dyDescent="0.25">
      <c r="A369" t="s">
        <v>515</v>
      </c>
      <c r="B369" s="1">
        <v>43121</v>
      </c>
      <c r="C369" t="s">
        <v>677</v>
      </c>
      <c r="D369" t="s">
        <v>575</v>
      </c>
      <c r="E369" t="s">
        <v>638</v>
      </c>
      <c r="F369">
        <f>_xlfn.XLOOKUP(Orders4[[#This Row],[Order ID]],Details!$A:$A, Details!$B:$B)</f>
        <v>811</v>
      </c>
      <c r="G369">
        <f>_xlfn.XLOOKUP(Orders4[[#This Row],[Order ID]],Details!$A:$A,Details!C:C)</f>
        <v>154</v>
      </c>
      <c r="H369">
        <f>_xlfn.XLOOKUP(Orders4[[#This Row],[Order ID]],Details!$A:$A,Details!$D:$D)</f>
        <v>7</v>
      </c>
      <c r="I369" t="str">
        <f>_xlfn.XLOOKUP(Orders4[[#This Row],[Order ID]],Details!A:A,Details!$E:$E)</f>
        <v>Electronics</v>
      </c>
      <c r="J369" t="str">
        <f>_xlfn.XLOOKUP(Orders4[[#This Row],[Order ID]],Details!$A:$A,Details!$F:$F)</f>
        <v>Accessories</v>
      </c>
      <c r="K369" t="str">
        <f>_xlfn.XLOOKUP(Orders4[[#This Row],[Order ID]],Details!$A:$A,Details!$G:$G)</f>
        <v>UPI</v>
      </c>
      <c r="L369">
        <f>Orders4[[#This Row],[Amount]]/Orders4[[#This Row],[Quantity]]</f>
        <v>115.85714285714286</v>
      </c>
    </row>
    <row r="370" spans="1:12" x14ac:dyDescent="0.25">
      <c r="A370" t="s">
        <v>436</v>
      </c>
      <c r="B370" s="1">
        <v>43121</v>
      </c>
      <c r="C370" t="s">
        <v>558</v>
      </c>
      <c r="D370" t="s">
        <v>559</v>
      </c>
      <c r="E370" t="s">
        <v>560</v>
      </c>
      <c r="F370">
        <f>_xlfn.XLOOKUP(Orders4[[#This Row],[Order ID]],Details!$A:$A, Details!$B:$B)</f>
        <v>171</v>
      </c>
      <c r="G370">
        <f>_xlfn.XLOOKUP(Orders4[[#This Row],[Order ID]],Details!$A:$A,Details!C:C)</f>
        <v>17</v>
      </c>
      <c r="H370">
        <f>_xlfn.XLOOKUP(Orders4[[#This Row],[Order ID]],Details!$A:$A,Details!$D:$D)</f>
        <v>6</v>
      </c>
      <c r="I370" t="str">
        <f>_xlfn.XLOOKUP(Orders4[[#This Row],[Order ID]],Details!A:A,Details!$E:$E)</f>
        <v>Clothing</v>
      </c>
      <c r="J370" t="str">
        <f>_xlfn.XLOOKUP(Orders4[[#This Row],[Order ID]],Details!$A:$A,Details!$F:$F)</f>
        <v>T-shirt</v>
      </c>
      <c r="K370" t="str">
        <f>_xlfn.XLOOKUP(Orders4[[#This Row],[Order ID]],Details!$A:$A,Details!$G:$G)</f>
        <v>UPI</v>
      </c>
      <c r="L370">
        <f>Orders4[[#This Row],[Amount]]/Orders4[[#This Row],[Quantity]]</f>
        <v>28.5</v>
      </c>
    </row>
    <row r="371" spans="1:12" x14ac:dyDescent="0.25">
      <c r="A371" t="s">
        <v>136</v>
      </c>
      <c r="B371" s="1">
        <v>43122</v>
      </c>
      <c r="C371" t="s">
        <v>690</v>
      </c>
      <c r="D371" t="s">
        <v>543</v>
      </c>
      <c r="E371" t="s">
        <v>544</v>
      </c>
      <c r="F371">
        <f>_xlfn.XLOOKUP(Orders4[[#This Row],[Order ID]],Details!$A:$A, Details!$B:$B)</f>
        <v>742</v>
      </c>
      <c r="G371">
        <f>_xlfn.XLOOKUP(Orders4[[#This Row],[Order ID]],Details!$A:$A,Details!C:C)</f>
        <v>198</v>
      </c>
      <c r="H371">
        <f>_xlfn.XLOOKUP(Orders4[[#This Row],[Order ID]],Details!$A:$A,Details!$D:$D)</f>
        <v>2</v>
      </c>
      <c r="I371" t="str">
        <f>_xlfn.XLOOKUP(Orders4[[#This Row],[Order ID]],Details!A:A,Details!$E:$E)</f>
        <v>Furniture</v>
      </c>
      <c r="J371" t="str">
        <f>_xlfn.XLOOKUP(Orders4[[#This Row],[Order ID]],Details!$A:$A,Details!$F:$F)</f>
        <v>Bookcases</v>
      </c>
      <c r="K371" t="str">
        <f>_xlfn.XLOOKUP(Orders4[[#This Row],[Order ID]],Details!$A:$A,Details!$G:$G)</f>
        <v>COD</v>
      </c>
      <c r="L371">
        <f>Orders4[[#This Row],[Amount]]/Orders4[[#This Row],[Quantity]]</f>
        <v>371</v>
      </c>
    </row>
    <row r="372" spans="1:12" x14ac:dyDescent="0.25">
      <c r="A372" t="s">
        <v>278</v>
      </c>
      <c r="B372" s="1">
        <v>43122</v>
      </c>
      <c r="C372" t="s">
        <v>675</v>
      </c>
      <c r="D372" t="s">
        <v>546</v>
      </c>
      <c r="E372" t="s">
        <v>547</v>
      </c>
      <c r="F372">
        <f>_xlfn.XLOOKUP(Orders4[[#This Row],[Order ID]],Details!$A:$A, Details!$B:$B)</f>
        <v>244</v>
      </c>
      <c r="G372">
        <f>_xlfn.XLOOKUP(Orders4[[#This Row],[Order ID]],Details!$A:$A,Details!C:C)</f>
        <v>83</v>
      </c>
      <c r="H372">
        <f>_xlfn.XLOOKUP(Orders4[[#This Row],[Order ID]],Details!$A:$A,Details!$D:$D)</f>
        <v>2</v>
      </c>
      <c r="I372" t="str">
        <f>_xlfn.XLOOKUP(Orders4[[#This Row],[Order ID]],Details!A:A,Details!$E:$E)</f>
        <v>Furniture</v>
      </c>
      <c r="J372" t="str">
        <f>_xlfn.XLOOKUP(Orders4[[#This Row],[Order ID]],Details!$A:$A,Details!$F:$F)</f>
        <v>Bookcases</v>
      </c>
      <c r="K372" t="str">
        <f>_xlfn.XLOOKUP(Orders4[[#This Row],[Order ID]],Details!$A:$A,Details!$G:$G)</f>
        <v>COD</v>
      </c>
      <c r="L372">
        <f>Orders4[[#This Row],[Amount]]/Orders4[[#This Row],[Quantity]]</f>
        <v>122</v>
      </c>
    </row>
    <row r="373" spans="1:12" x14ac:dyDescent="0.25">
      <c r="A373" t="s">
        <v>366</v>
      </c>
      <c r="B373" s="1">
        <v>43123</v>
      </c>
      <c r="C373" t="s">
        <v>850</v>
      </c>
      <c r="D373" t="s">
        <v>595</v>
      </c>
      <c r="E373" t="s">
        <v>596</v>
      </c>
      <c r="F373">
        <f>_xlfn.XLOOKUP(Orders4[[#This Row],[Order ID]],Details!$A:$A, Details!$B:$B)</f>
        <v>115</v>
      </c>
      <c r="G373">
        <f>_xlfn.XLOOKUP(Orders4[[#This Row],[Order ID]],Details!$A:$A,Details!C:C)</f>
        <v>47</v>
      </c>
      <c r="H373">
        <f>_xlfn.XLOOKUP(Orders4[[#This Row],[Order ID]],Details!$A:$A,Details!$D:$D)</f>
        <v>2</v>
      </c>
      <c r="I373" t="str">
        <f>_xlfn.XLOOKUP(Orders4[[#This Row],[Order ID]],Details!A:A,Details!$E:$E)</f>
        <v>Electronics</v>
      </c>
      <c r="J373" t="str">
        <f>_xlfn.XLOOKUP(Orders4[[#This Row],[Order ID]],Details!$A:$A,Details!$F:$F)</f>
        <v>Accessories</v>
      </c>
      <c r="K373" t="str">
        <f>_xlfn.XLOOKUP(Orders4[[#This Row],[Order ID]],Details!$A:$A,Details!$G:$G)</f>
        <v>COD</v>
      </c>
      <c r="L373">
        <f>Orders4[[#This Row],[Amount]]/Orders4[[#This Row],[Quantity]]</f>
        <v>57.5</v>
      </c>
    </row>
    <row r="374" spans="1:12" x14ac:dyDescent="0.25">
      <c r="A374" t="s">
        <v>225</v>
      </c>
      <c r="B374" s="1">
        <v>43124</v>
      </c>
      <c r="C374" t="s">
        <v>541</v>
      </c>
      <c r="D374" t="s">
        <v>537</v>
      </c>
      <c r="E374" t="s">
        <v>538</v>
      </c>
      <c r="F374">
        <f>_xlfn.XLOOKUP(Orders4[[#This Row],[Order ID]],Details!$A:$A, Details!$B:$B)</f>
        <v>398</v>
      </c>
      <c r="G374">
        <f>_xlfn.XLOOKUP(Orders4[[#This Row],[Order ID]],Details!$A:$A,Details!C:C)</f>
        <v>111</v>
      </c>
      <c r="H374">
        <f>_xlfn.XLOOKUP(Orders4[[#This Row],[Order ID]],Details!$A:$A,Details!$D:$D)</f>
        <v>8</v>
      </c>
      <c r="I374" t="str">
        <f>_xlfn.XLOOKUP(Orders4[[#This Row],[Order ID]],Details!A:A,Details!$E:$E)</f>
        <v>Clothing</v>
      </c>
      <c r="J374" t="str">
        <f>_xlfn.XLOOKUP(Orders4[[#This Row],[Order ID]],Details!$A:$A,Details!$F:$F)</f>
        <v>Hankerchief</v>
      </c>
      <c r="K374" t="str">
        <f>_xlfn.XLOOKUP(Orders4[[#This Row],[Order ID]],Details!$A:$A,Details!$G:$G)</f>
        <v>COD</v>
      </c>
      <c r="L374">
        <f>Orders4[[#This Row],[Amount]]/Orders4[[#This Row],[Quantity]]</f>
        <v>49.75</v>
      </c>
    </row>
    <row r="375" spans="1:12" x14ac:dyDescent="0.25">
      <c r="A375" t="s">
        <v>510</v>
      </c>
      <c r="B375" s="1">
        <v>43125</v>
      </c>
      <c r="C375" t="s">
        <v>703</v>
      </c>
      <c r="D375" t="s">
        <v>595</v>
      </c>
      <c r="E375" t="s">
        <v>596</v>
      </c>
      <c r="F375">
        <f>_xlfn.XLOOKUP(Orders4[[#This Row],[Order ID]],Details!$A:$A, Details!$B:$B)</f>
        <v>662</v>
      </c>
      <c r="G375">
        <f>_xlfn.XLOOKUP(Orders4[[#This Row],[Order ID]],Details!$A:$A,Details!C:C)</f>
        <v>240</v>
      </c>
      <c r="H375">
        <f>_xlfn.XLOOKUP(Orders4[[#This Row],[Order ID]],Details!$A:$A,Details!$D:$D)</f>
        <v>2</v>
      </c>
      <c r="I375" t="str">
        <f>_xlfn.XLOOKUP(Orders4[[#This Row],[Order ID]],Details!A:A,Details!$E:$E)</f>
        <v>Furniture</v>
      </c>
      <c r="J375" t="str">
        <f>_xlfn.XLOOKUP(Orders4[[#This Row],[Order ID]],Details!$A:$A,Details!$F:$F)</f>
        <v>Bookcases</v>
      </c>
      <c r="K375" t="str">
        <f>_xlfn.XLOOKUP(Orders4[[#This Row],[Order ID]],Details!$A:$A,Details!$G:$G)</f>
        <v>COD</v>
      </c>
      <c r="L375">
        <f>Orders4[[#This Row],[Amount]]/Orders4[[#This Row],[Quantity]]</f>
        <v>331</v>
      </c>
    </row>
    <row r="376" spans="1:12" x14ac:dyDescent="0.25">
      <c r="A376" t="s">
        <v>500</v>
      </c>
      <c r="B376" s="1">
        <v>43125</v>
      </c>
      <c r="C376" t="s">
        <v>610</v>
      </c>
      <c r="D376" t="s">
        <v>537</v>
      </c>
      <c r="E376" t="s">
        <v>549</v>
      </c>
      <c r="F376">
        <f>_xlfn.XLOOKUP(Orders4[[#This Row],[Order ID]],Details!$A:$A, Details!$B:$B)</f>
        <v>29</v>
      </c>
      <c r="G376">
        <f>_xlfn.XLOOKUP(Orders4[[#This Row],[Order ID]],Details!$A:$A,Details!C:C)</f>
        <v>2</v>
      </c>
      <c r="H376">
        <f>_xlfn.XLOOKUP(Orders4[[#This Row],[Order ID]],Details!$A:$A,Details!$D:$D)</f>
        <v>3</v>
      </c>
      <c r="I376" t="str">
        <f>_xlfn.XLOOKUP(Orders4[[#This Row],[Order ID]],Details!A:A,Details!$E:$E)</f>
        <v>Clothing</v>
      </c>
      <c r="J376" t="str">
        <f>_xlfn.XLOOKUP(Orders4[[#This Row],[Order ID]],Details!$A:$A,Details!$F:$F)</f>
        <v>Skirt</v>
      </c>
      <c r="K376" t="str">
        <f>_xlfn.XLOOKUP(Orders4[[#This Row],[Order ID]],Details!$A:$A,Details!$G:$G)</f>
        <v>COD</v>
      </c>
      <c r="L376">
        <f>Orders4[[#This Row],[Amount]]/Orders4[[#This Row],[Quantity]]</f>
        <v>9.6666666666666661</v>
      </c>
    </row>
    <row r="377" spans="1:12" x14ac:dyDescent="0.25">
      <c r="A377" t="s">
        <v>444</v>
      </c>
      <c r="B377" s="1">
        <v>43125</v>
      </c>
      <c r="C377" t="s">
        <v>803</v>
      </c>
      <c r="D377" t="s">
        <v>575</v>
      </c>
      <c r="E377" t="s">
        <v>638</v>
      </c>
      <c r="F377">
        <f>_xlfn.XLOOKUP(Orders4[[#This Row],[Order ID]],Details!$A:$A, Details!$B:$B)</f>
        <v>193</v>
      </c>
      <c r="G377">
        <f>_xlfn.XLOOKUP(Orders4[[#This Row],[Order ID]],Details!$A:$A,Details!C:C)</f>
        <v>8</v>
      </c>
      <c r="H377">
        <f>_xlfn.XLOOKUP(Orders4[[#This Row],[Order ID]],Details!$A:$A,Details!$D:$D)</f>
        <v>4</v>
      </c>
      <c r="I377" t="str">
        <f>_xlfn.XLOOKUP(Orders4[[#This Row],[Order ID]],Details!A:A,Details!$E:$E)</f>
        <v>Clothing</v>
      </c>
      <c r="J377" t="str">
        <f>_xlfn.XLOOKUP(Orders4[[#This Row],[Order ID]],Details!$A:$A,Details!$F:$F)</f>
        <v>T-shirt</v>
      </c>
      <c r="K377" t="str">
        <f>_xlfn.XLOOKUP(Orders4[[#This Row],[Order ID]],Details!$A:$A,Details!$G:$G)</f>
        <v>UPI</v>
      </c>
      <c r="L377">
        <f>Orders4[[#This Row],[Amount]]/Orders4[[#This Row],[Quantity]]</f>
        <v>48.25</v>
      </c>
    </row>
    <row r="378" spans="1:12" x14ac:dyDescent="0.25">
      <c r="A378" t="s">
        <v>217</v>
      </c>
      <c r="B378" s="1">
        <v>43127</v>
      </c>
      <c r="C378" t="s">
        <v>767</v>
      </c>
      <c r="D378" t="s">
        <v>559</v>
      </c>
      <c r="E378" t="s">
        <v>560</v>
      </c>
      <c r="F378">
        <f>_xlfn.XLOOKUP(Orders4[[#This Row],[Order ID]],Details!$A:$A, Details!$B:$B)</f>
        <v>27</v>
      </c>
      <c r="G378">
        <f>_xlfn.XLOOKUP(Orders4[[#This Row],[Order ID]],Details!$A:$A,Details!C:C)</f>
        <v>1</v>
      </c>
      <c r="H378">
        <f>_xlfn.XLOOKUP(Orders4[[#This Row],[Order ID]],Details!$A:$A,Details!$D:$D)</f>
        <v>1</v>
      </c>
      <c r="I378" t="str">
        <f>_xlfn.XLOOKUP(Orders4[[#This Row],[Order ID]],Details!A:A,Details!$E:$E)</f>
        <v>Clothing</v>
      </c>
      <c r="J378" t="str">
        <f>_xlfn.XLOOKUP(Orders4[[#This Row],[Order ID]],Details!$A:$A,Details!$F:$F)</f>
        <v>Stole</v>
      </c>
      <c r="K378" t="str">
        <f>_xlfn.XLOOKUP(Orders4[[#This Row],[Order ID]],Details!$A:$A,Details!$G:$G)</f>
        <v>UPI</v>
      </c>
      <c r="L378">
        <f>Orders4[[#This Row],[Amount]]/Orders4[[#This Row],[Quantity]]</f>
        <v>27</v>
      </c>
    </row>
    <row r="379" spans="1:12" x14ac:dyDescent="0.25">
      <c r="A379" t="s">
        <v>478</v>
      </c>
      <c r="B379" s="1">
        <v>43127</v>
      </c>
      <c r="C379" t="s">
        <v>652</v>
      </c>
      <c r="D379" t="s">
        <v>543</v>
      </c>
      <c r="E379" t="s">
        <v>544</v>
      </c>
      <c r="F379">
        <f>_xlfn.XLOOKUP(Orders4[[#This Row],[Order ID]],Details!$A:$A, Details!$B:$B)</f>
        <v>341</v>
      </c>
      <c r="G379">
        <f>_xlfn.XLOOKUP(Orders4[[#This Row],[Order ID]],Details!$A:$A,Details!C:C)</f>
        <v>160</v>
      </c>
      <c r="H379">
        <f>_xlfn.XLOOKUP(Orders4[[#This Row],[Order ID]],Details!$A:$A,Details!$D:$D)</f>
        <v>7</v>
      </c>
      <c r="I379" t="str">
        <f>_xlfn.XLOOKUP(Orders4[[#This Row],[Order ID]],Details!A:A,Details!$E:$E)</f>
        <v>Clothing</v>
      </c>
      <c r="J379" t="str">
        <f>_xlfn.XLOOKUP(Orders4[[#This Row],[Order ID]],Details!$A:$A,Details!$F:$F)</f>
        <v>Stole</v>
      </c>
      <c r="K379" t="str">
        <f>_xlfn.XLOOKUP(Orders4[[#This Row],[Order ID]],Details!$A:$A,Details!$G:$G)</f>
        <v>Debit Card</v>
      </c>
      <c r="L379">
        <f>Orders4[[#This Row],[Amount]]/Orders4[[#This Row],[Quantity]]</f>
        <v>48.714285714285715</v>
      </c>
    </row>
    <row r="380" spans="1:12" x14ac:dyDescent="0.25">
      <c r="A380" t="s">
        <v>300</v>
      </c>
      <c r="B380" s="1">
        <v>43127</v>
      </c>
      <c r="C380" t="s">
        <v>720</v>
      </c>
      <c r="D380" t="s">
        <v>546</v>
      </c>
      <c r="E380" t="s">
        <v>547</v>
      </c>
      <c r="F380">
        <f>_xlfn.XLOOKUP(Orders4[[#This Row],[Order ID]],Details!$A:$A, Details!$B:$B)</f>
        <v>284</v>
      </c>
      <c r="G380">
        <f>_xlfn.XLOOKUP(Orders4[[#This Row],[Order ID]],Details!$A:$A,Details!C:C)</f>
        <v>45</v>
      </c>
      <c r="H380">
        <f>_xlfn.XLOOKUP(Orders4[[#This Row],[Order ID]],Details!$A:$A,Details!$D:$D)</f>
        <v>2</v>
      </c>
      <c r="I380" t="str">
        <f>_xlfn.XLOOKUP(Orders4[[#This Row],[Order ID]],Details!A:A,Details!$E:$E)</f>
        <v>Furniture</v>
      </c>
      <c r="J380" t="str">
        <f>_xlfn.XLOOKUP(Orders4[[#This Row],[Order ID]],Details!$A:$A,Details!$F:$F)</f>
        <v>Bookcases</v>
      </c>
      <c r="K380" t="str">
        <f>_xlfn.XLOOKUP(Orders4[[#This Row],[Order ID]],Details!$A:$A,Details!$G:$G)</f>
        <v>EMI</v>
      </c>
      <c r="L380">
        <f>Orders4[[#This Row],[Amount]]/Orders4[[#This Row],[Quantity]]</f>
        <v>142</v>
      </c>
    </row>
    <row r="381" spans="1:12" x14ac:dyDescent="0.25">
      <c r="A381" t="s">
        <v>195</v>
      </c>
      <c r="B381" s="1">
        <v>43127</v>
      </c>
      <c r="C381" t="s">
        <v>662</v>
      </c>
      <c r="D381" t="s">
        <v>595</v>
      </c>
      <c r="E381" t="s">
        <v>596</v>
      </c>
      <c r="F381">
        <f>_xlfn.XLOOKUP(Orders4[[#This Row],[Order ID]],Details!$A:$A, Details!$B:$B)</f>
        <v>22</v>
      </c>
      <c r="G381">
        <f>_xlfn.XLOOKUP(Orders4[[#This Row],[Order ID]],Details!$A:$A,Details!C:C)</f>
        <v>11</v>
      </c>
      <c r="H381">
        <f>_xlfn.XLOOKUP(Orders4[[#This Row],[Order ID]],Details!$A:$A,Details!$D:$D)</f>
        <v>3</v>
      </c>
      <c r="I381" t="str">
        <f>_xlfn.XLOOKUP(Orders4[[#This Row],[Order ID]],Details!A:A,Details!$E:$E)</f>
        <v>Clothing</v>
      </c>
      <c r="J381" t="str">
        <f>_xlfn.XLOOKUP(Orders4[[#This Row],[Order ID]],Details!$A:$A,Details!$F:$F)</f>
        <v>Kurti</v>
      </c>
      <c r="K381" t="str">
        <f>_xlfn.XLOOKUP(Orders4[[#This Row],[Order ID]],Details!$A:$A,Details!$G:$G)</f>
        <v>COD</v>
      </c>
      <c r="L381">
        <f>Orders4[[#This Row],[Amount]]/Orders4[[#This Row],[Quantity]]</f>
        <v>7.333333333333333</v>
      </c>
    </row>
    <row r="382" spans="1:12" x14ac:dyDescent="0.25">
      <c r="A382" t="s">
        <v>264</v>
      </c>
      <c r="B382" s="1">
        <v>43128</v>
      </c>
      <c r="C382" t="s">
        <v>671</v>
      </c>
      <c r="D382" t="s">
        <v>540</v>
      </c>
      <c r="E382" t="s">
        <v>540</v>
      </c>
      <c r="F382">
        <f>_xlfn.XLOOKUP(Orders4[[#This Row],[Order ID]],Details!$A:$A, Details!$B:$B)</f>
        <v>867</v>
      </c>
      <c r="G382">
        <f>_xlfn.XLOOKUP(Orders4[[#This Row],[Order ID]],Details!$A:$A,Details!C:C)</f>
        <v>251</v>
      </c>
      <c r="H382">
        <f>_xlfn.XLOOKUP(Orders4[[#This Row],[Order ID]],Details!$A:$A,Details!$D:$D)</f>
        <v>5</v>
      </c>
      <c r="I382" t="str">
        <f>_xlfn.XLOOKUP(Orders4[[#This Row],[Order ID]],Details!A:A,Details!$E:$E)</f>
        <v>Electronics</v>
      </c>
      <c r="J382" t="str">
        <f>_xlfn.XLOOKUP(Orders4[[#This Row],[Order ID]],Details!$A:$A,Details!$F:$F)</f>
        <v>Phones</v>
      </c>
      <c r="K382" t="str">
        <f>_xlfn.XLOOKUP(Orders4[[#This Row],[Order ID]],Details!$A:$A,Details!$G:$G)</f>
        <v>COD</v>
      </c>
      <c r="L382">
        <f>Orders4[[#This Row],[Amount]]/Orders4[[#This Row],[Quantity]]</f>
        <v>173.4</v>
      </c>
    </row>
    <row r="383" spans="1:12" x14ac:dyDescent="0.25">
      <c r="A383" t="s">
        <v>525</v>
      </c>
      <c r="B383" s="1">
        <v>43129</v>
      </c>
      <c r="C383" t="s">
        <v>911</v>
      </c>
      <c r="D383" t="s">
        <v>540</v>
      </c>
      <c r="E383" t="s">
        <v>540</v>
      </c>
      <c r="F383">
        <f>_xlfn.XLOOKUP(Orders4[[#This Row],[Order ID]],Details!$A:$A, Details!$B:$B)</f>
        <v>13</v>
      </c>
      <c r="G383">
        <f>_xlfn.XLOOKUP(Orders4[[#This Row],[Order ID]],Details!$A:$A,Details!C:C)</f>
        <v>3</v>
      </c>
      <c r="H383">
        <f>_xlfn.XLOOKUP(Orders4[[#This Row],[Order ID]],Details!$A:$A,Details!$D:$D)</f>
        <v>1</v>
      </c>
      <c r="I383" t="str">
        <f>_xlfn.XLOOKUP(Orders4[[#This Row],[Order ID]],Details!A:A,Details!$E:$E)</f>
        <v>Clothing</v>
      </c>
      <c r="J383" t="str">
        <f>_xlfn.XLOOKUP(Orders4[[#This Row],[Order ID]],Details!$A:$A,Details!$F:$F)</f>
        <v>Leggings</v>
      </c>
      <c r="K383" t="str">
        <f>_xlfn.XLOOKUP(Orders4[[#This Row],[Order ID]],Details!$A:$A,Details!$G:$G)</f>
        <v>COD</v>
      </c>
      <c r="L383">
        <f>Orders4[[#This Row],[Amount]]/Orders4[[#This Row],[Quantity]]</f>
        <v>13</v>
      </c>
    </row>
    <row r="384" spans="1:12" x14ac:dyDescent="0.25">
      <c r="A384" t="s">
        <v>223</v>
      </c>
      <c r="B384" s="1">
        <v>43130</v>
      </c>
      <c r="C384" t="s">
        <v>719</v>
      </c>
      <c r="D384" t="s">
        <v>540</v>
      </c>
      <c r="E384" t="s">
        <v>540</v>
      </c>
      <c r="F384">
        <f>_xlfn.XLOOKUP(Orders4[[#This Row],[Order ID]],Details!$A:$A, Details!$B:$B)</f>
        <v>561</v>
      </c>
      <c r="G384">
        <f>_xlfn.XLOOKUP(Orders4[[#This Row],[Order ID]],Details!$A:$A,Details!C:C)</f>
        <v>118</v>
      </c>
      <c r="H384">
        <f>_xlfn.XLOOKUP(Orders4[[#This Row],[Order ID]],Details!$A:$A,Details!$D:$D)</f>
        <v>5</v>
      </c>
      <c r="I384" t="str">
        <f>_xlfn.XLOOKUP(Orders4[[#This Row],[Order ID]],Details!A:A,Details!$E:$E)</f>
        <v>Furniture</v>
      </c>
      <c r="J384" t="str">
        <f>_xlfn.XLOOKUP(Orders4[[#This Row],[Order ID]],Details!$A:$A,Details!$F:$F)</f>
        <v>Bookcases</v>
      </c>
      <c r="K384" t="str">
        <f>_xlfn.XLOOKUP(Orders4[[#This Row],[Order ID]],Details!$A:$A,Details!$G:$G)</f>
        <v>Credit Card</v>
      </c>
      <c r="L384">
        <f>Orders4[[#This Row],[Amount]]/Orders4[[#This Row],[Quantity]]</f>
        <v>112.2</v>
      </c>
    </row>
    <row r="385" spans="1:12" x14ac:dyDescent="0.25">
      <c r="A385" t="s">
        <v>102</v>
      </c>
      <c r="B385" s="1">
        <v>43130</v>
      </c>
      <c r="C385" t="s">
        <v>742</v>
      </c>
      <c r="D385" t="s">
        <v>540</v>
      </c>
      <c r="E385" t="s">
        <v>540</v>
      </c>
      <c r="F385">
        <f>_xlfn.XLOOKUP(Orders4[[#This Row],[Order ID]],Details!$A:$A, Details!$B:$B)</f>
        <v>304</v>
      </c>
      <c r="G385">
        <f>_xlfn.XLOOKUP(Orders4[[#This Row],[Order ID]],Details!$A:$A,Details!C:C)</f>
        <v>97</v>
      </c>
      <c r="H385">
        <f>_xlfn.XLOOKUP(Orders4[[#This Row],[Order ID]],Details!$A:$A,Details!$D:$D)</f>
        <v>6</v>
      </c>
      <c r="I385" t="str">
        <f>_xlfn.XLOOKUP(Orders4[[#This Row],[Order ID]],Details!A:A,Details!$E:$E)</f>
        <v>Clothing</v>
      </c>
      <c r="J385" t="str">
        <f>_xlfn.XLOOKUP(Orders4[[#This Row],[Order ID]],Details!$A:$A,Details!$F:$F)</f>
        <v>Stole</v>
      </c>
      <c r="K385" t="str">
        <f>_xlfn.XLOOKUP(Orders4[[#This Row],[Order ID]],Details!$A:$A,Details!$G:$G)</f>
        <v>UPI</v>
      </c>
      <c r="L385">
        <f>Orders4[[#This Row],[Amount]]/Orders4[[#This Row],[Quantity]]</f>
        <v>50.666666666666664</v>
      </c>
    </row>
    <row r="386" spans="1:12" x14ac:dyDescent="0.25">
      <c r="A386" t="s">
        <v>281</v>
      </c>
      <c r="B386" s="1">
        <v>43131</v>
      </c>
      <c r="C386" t="s">
        <v>800</v>
      </c>
      <c r="D386" t="s">
        <v>546</v>
      </c>
      <c r="E386" t="s">
        <v>547</v>
      </c>
      <c r="F386">
        <f>_xlfn.XLOOKUP(Orders4[[#This Row],[Order ID]],Details!$A:$A, Details!$B:$B)</f>
        <v>32</v>
      </c>
      <c r="G386">
        <f>_xlfn.XLOOKUP(Orders4[[#This Row],[Order ID]],Details!$A:$A,Details!C:C)</f>
        <v>8</v>
      </c>
      <c r="H386">
        <f>_xlfn.XLOOKUP(Orders4[[#This Row],[Order ID]],Details!$A:$A,Details!$D:$D)</f>
        <v>5</v>
      </c>
      <c r="I386" t="str">
        <f>_xlfn.XLOOKUP(Orders4[[#This Row],[Order ID]],Details!A:A,Details!$E:$E)</f>
        <v>Clothing</v>
      </c>
      <c r="J386" t="str">
        <f>_xlfn.XLOOKUP(Orders4[[#This Row],[Order ID]],Details!$A:$A,Details!$F:$F)</f>
        <v>Hankerchief</v>
      </c>
      <c r="K386" t="str">
        <f>_xlfn.XLOOKUP(Orders4[[#This Row],[Order ID]],Details!$A:$A,Details!$G:$G)</f>
        <v>UPI</v>
      </c>
      <c r="L386">
        <f>Orders4[[#This Row],[Amount]]/Orders4[[#This Row],[Quantity]]</f>
        <v>6.4</v>
      </c>
    </row>
    <row r="387" spans="1:12" x14ac:dyDescent="0.25">
      <c r="A387" t="s">
        <v>130</v>
      </c>
      <c r="B387" s="1">
        <v>43131</v>
      </c>
      <c r="C387" t="s">
        <v>662</v>
      </c>
      <c r="D387" t="s">
        <v>595</v>
      </c>
      <c r="E387" t="s">
        <v>596</v>
      </c>
      <c r="F387">
        <f>_xlfn.XLOOKUP(Orders4[[#This Row],[Order ID]],Details!$A:$A, Details!$B:$B)</f>
        <v>749</v>
      </c>
      <c r="G387">
        <f>_xlfn.XLOOKUP(Orders4[[#This Row],[Order ID]],Details!$A:$A,Details!C:C)</f>
        <v>-307</v>
      </c>
      <c r="H387">
        <f>_xlfn.XLOOKUP(Orders4[[#This Row],[Order ID]],Details!$A:$A,Details!$D:$D)</f>
        <v>7</v>
      </c>
      <c r="I387" t="str">
        <f>_xlfn.XLOOKUP(Orders4[[#This Row],[Order ID]],Details!A:A,Details!$E:$E)</f>
        <v>Furniture</v>
      </c>
      <c r="J387" t="str">
        <f>_xlfn.XLOOKUP(Orders4[[#This Row],[Order ID]],Details!$A:$A,Details!$F:$F)</f>
        <v>Furnishings</v>
      </c>
      <c r="K387" t="str">
        <f>_xlfn.XLOOKUP(Orders4[[#This Row],[Order ID]],Details!$A:$A,Details!$G:$G)</f>
        <v>COD</v>
      </c>
      <c r="L387">
        <f>Orders4[[#This Row],[Amount]]/Orders4[[#This Row],[Quantity]]</f>
        <v>107</v>
      </c>
    </row>
    <row r="388" spans="1:12" x14ac:dyDescent="0.25">
      <c r="A388" t="s">
        <v>248</v>
      </c>
      <c r="B388" s="1">
        <v>43131</v>
      </c>
      <c r="C388" t="s">
        <v>776</v>
      </c>
      <c r="D388" t="s">
        <v>540</v>
      </c>
      <c r="E388" t="s">
        <v>540</v>
      </c>
      <c r="F388">
        <f>_xlfn.XLOOKUP(Orders4[[#This Row],[Order ID]],Details!$A:$A, Details!$B:$B)</f>
        <v>299</v>
      </c>
      <c r="G388">
        <f>_xlfn.XLOOKUP(Orders4[[#This Row],[Order ID]],Details!$A:$A,Details!C:C)</f>
        <v>0</v>
      </c>
      <c r="H388">
        <f>_xlfn.XLOOKUP(Orders4[[#This Row],[Order ID]],Details!$A:$A,Details!$D:$D)</f>
        <v>6</v>
      </c>
      <c r="I388" t="str">
        <f>_xlfn.XLOOKUP(Orders4[[#This Row],[Order ID]],Details!A:A,Details!$E:$E)</f>
        <v>Clothing</v>
      </c>
      <c r="J388" t="str">
        <f>_xlfn.XLOOKUP(Orders4[[#This Row],[Order ID]],Details!$A:$A,Details!$F:$F)</f>
        <v>Stole</v>
      </c>
      <c r="K388" t="str">
        <f>_xlfn.XLOOKUP(Orders4[[#This Row],[Order ID]],Details!$A:$A,Details!$G:$G)</f>
        <v>COD</v>
      </c>
      <c r="L388">
        <f>Orders4[[#This Row],[Amount]]/Orders4[[#This Row],[Quantity]]</f>
        <v>49.833333333333336</v>
      </c>
    </row>
    <row r="389" spans="1:12" x14ac:dyDescent="0.25">
      <c r="A389" t="s">
        <v>407</v>
      </c>
      <c r="B389" s="1">
        <v>43131</v>
      </c>
      <c r="C389" t="s">
        <v>870</v>
      </c>
      <c r="D389" t="s">
        <v>540</v>
      </c>
      <c r="E389" t="s">
        <v>540</v>
      </c>
      <c r="F389">
        <f>_xlfn.XLOOKUP(Orders4[[#This Row],[Order ID]],Details!$A:$A, Details!$B:$B)</f>
        <v>79</v>
      </c>
      <c r="G389">
        <f>_xlfn.XLOOKUP(Orders4[[#This Row],[Order ID]],Details!$A:$A,Details!C:C)</f>
        <v>-124</v>
      </c>
      <c r="H389">
        <f>_xlfn.XLOOKUP(Orders4[[#This Row],[Order ID]],Details!$A:$A,Details!$D:$D)</f>
        <v>9</v>
      </c>
      <c r="I389" t="str">
        <f>_xlfn.XLOOKUP(Orders4[[#This Row],[Order ID]],Details!A:A,Details!$E:$E)</f>
        <v>Clothing</v>
      </c>
      <c r="J389" t="str">
        <f>_xlfn.XLOOKUP(Orders4[[#This Row],[Order ID]],Details!$A:$A,Details!$F:$F)</f>
        <v>Skirt</v>
      </c>
      <c r="K389" t="str">
        <f>_xlfn.XLOOKUP(Orders4[[#This Row],[Order ID]],Details!$A:$A,Details!$G:$G)</f>
        <v>COD</v>
      </c>
      <c r="L389">
        <f>Orders4[[#This Row],[Amount]]/Orders4[[#This Row],[Quantity]]</f>
        <v>8.7777777777777786</v>
      </c>
    </row>
    <row r="390" spans="1:12" x14ac:dyDescent="0.25">
      <c r="A390" t="s">
        <v>255</v>
      </c>
      <c r="B390" s="1">
        <v>43132</v>
      </c>
      <c r="C390" t="s">
        <v>655</v>
      </c>
      <c r="D390" t="s">
        <v>540</v>
      </c>
      <c r="E390" t="s">
        <v>540</v>
      </c>
      <c r="F390">
        <f>_xlfn.XLOOKUP(Orders4[[#This Row],[Order ID]],Details!$A:$A, Details!$B:$B)</f>
        <v>42</v>
      </c>
      <c r="G390">
        <f>_xlfn.XLOOKUP(Orders4[[#This Row],[Order ID]],Details!$A:$A,Details!C:C)</f>
        <v>15</v>
      </c>
      <c r="H390">
        <f>_xlfn.XLOOKUP(Orders4[[#This Row],[Order ID]],Details!$A:$A,Details!$D:$D)</f>
        <v>1</v>
      </c>
      <c r="I390" t="str">
        <f>_xlfn.XLOOKUP(Orders4[[#This Row],[Order ID]],Details!A:A,Details!$E:$E)</f>
        <v>Electronics</v>
      </c>
      <c r="J390" t="str">
        <f>_xlfn.XLOOKUP(Orders4[[#This Row],[Order ID]],Details!$A:$A,Details!$F:$F)</f>
        <v>Accessories</v>
      </c>
      <c r="K390" t="str">
        <f>_xlfn.XLOOKUP(Orders4[[#This Row],[Order ID]],Details!$A:$A,Details!$G:$G)</f>
        <v>UPI</v>
      </c>
      <c r="L390">
        <f>Orders4[[#This Row],[Amount]]/Orders4[[#This Row],[Quantity]]</f>
        <v>42</v>
      </c>
    </row>
    <row r="391" spans="1:12" x14ac:dyDescent="0.25">
      <c r="A391" t="s">
        <v>322</v>
      </c>
      <c r="B391" s="1">
        <v>43133</v>
      </c>
      <c r="C391" t="s">
        <v>876</v>
      </c>
      <c r="D391" t="s">
        <v>540</v>
      </c>
      <c r="E391" t="s">
        <v>540</v>
      </c>
      <c r="F391">
        <f>_xlfn.XLOOKUP(Orders4[[#This Row],[Order ID]],Details!$A:$A, Details!$B:$B)</f>
        <v>71</v>
      </c>
      <c r="G391">
        <f>_xlfn.XLOOKUP(Orders4[[#This Row],[Order ID]],Details!$A:$A,Details!C:C)</f>
        <v>32</v>
      </c>
      <c r="H391">
        <f>_xlfn.XLOOKUP(Orders4[[#This Row],[Order ID]],Details!$A:$A,Details!$D:$D)</f>
        <v>3</v>
      </c>
      <c r="I391" t="str">
        <f>_xlfn.XLOOKUP(Orders4[[#This Row],[Order ID]],Details!A:A,Details!$E:$E)</f>
        <v>Clothing</v>
      </c>
      <c r="J391" t="str">
        <f>_xlfn.XLOOKUP(Orders4[[#This Row],[Order ID]],Details!$A:$A,Details!$F:$F)</f>
        <v>Saree</v>
      </c>
      <c r="K391" t="str">
        <f>_xlfn.XLOOKUP(Orders4[[#This Row],[Order ID]],Details!$A:$A,Details!$G:$G)</f>
        <v>Debit Card</v>
      </c>
      <c r="L391">
        <f>Orders4[[#This Row],[Amount]]/Orders4[[#This Row],[Quantity]]</f>
        <v>23.666666666666668</v>
      </c>
    </row>
    <row r="392" spans="1:12" x14ac:dyDescent="0.25">
      <c r="A392" t="s">
        <v>69</v>
      </c>
      <c r="B392" s="1">
        <v>43134</v>
      </c>
      <c r="C392" t="s">
        <v>807</v>
      </c>
      <c r="D392" t="s">
        <v>546</v>
      </c>
      <c r="E392" t="s">
        <v>547</v>
      </c>
      <c r="F392">
        <f>_xlfn.XLOOKUP(Orders4[[#This Row],[Order ID]],Details!$A:$A, Details!$B:$B)</f>
        <v>13</v>
      </c>
      <c r="G392">
        <f>_xlfn.XLOOKUP(Orders4[[#This Row],[Order ID]],Details!$A:$A,Details!C:C)</f>
        <v>5</v>
      </c>
      <c r="H392">
        <f>_xlfn.XLOOKUP(Orders4[[#This Row],[Order ID]],Details!$A:$A,Details!$D:$D)</f>
        <v>2</v>
      </c>
      <c r="I392" t="str">
        <f>_xlfn.XLOOKUP(Orders4[[#This Row],[Order ID]],Details!A:A,Details!$E:$E)</f>
        <v>Clothing</v>
      </c>
      <c r="J392" t="str">
        <f>_xlfn.XLOOKUP(Orders4[[#This Row],[Order ID]],Details!$A:$A,Details!$F:$F)</f>
        <v>Hankerchief</v>
      </c>
      <c r="K392" t="str">
        <f>_xlfn.XLOOKUP(Orders4[[#This Row],[Order ID]],Details!$A:$A,Details!$G:$G)</f>
        <v>UPI</v>
      </c>
      <c r="L392">
        <f>Orders4[[#This Row],[Amount]]/Orders4[[#This Row],[Quantity]]</f>
        <v>6.5</v>
      </c>
    </row>
    <row r="393" spans="1:12" x14ac:dyDescent="0.25">
      <c r="A393" t="s">
        <v>415</v>
      </c>
      <c r="B393" s="1">
        <v>43134</v>
      </c>
      <c r="C393" t="s">
        <v>565</v>
      </c>
      <c r="D393" t="s">
        <v>595</v>
      </c>
      <c r="E393" t="s">
        <v>596</v>
      </c>
      <c r="F393">
        <f>_xlfn.XLOOKUP(Orders4[[#This Row],[Order ID]],Details!$A:$A, Details!$B:$B)</f>
        <v>141</v>
      </c>
      <c r="G393">
        <f>_xlfn.XLOOKUP(Orders4[[#This Row],[Order ID]],Details!$A:$A,Details!C:C)</f>
        <v>41</v>
      </c>
      <c r="H393">
        <f>_xlfn.XLOOKUP(Orders4[[#This Row],[Order ID]],Details!$A:$A,Details!$D:$D)</f>
        <v>3</v>
      </c>
      <c r="I393" t="str">
        <f>_xlfn.XLOOKUP(Orders4[[#This Row],[Order ID]],Details!A:A,Details!$E:$E)</f>
        <v>Clothing</v>
      </c>
      <c r="J393" t="str">
        <f>_xlfn.XLOOKUP(Orders4[[#This Row],[Order ID]],Details!$A:$A,Details!$F:$F)</f>
        <v>Shirt</v>
      </c>
      <c r="K393" t="str">
        <f>_xlfn.XLOOKUP(Orders4[[#This Row],[Order ID]],Details!$A:$A,Details!$G:$G)</f>
        <v>UPI</v>
      </c>
      <c r="L393">
        <f>Orders4[[#This Row],[Amount]]/Orders4[[#This Row],[Quantity]]</f>
        <v>47</v>
      </c>
    </row>
    <row r="394" spans="1:12" x14ac:dyDescent="0.25">
      <c r="A394" t="s">
        <v>164</v>
      </c>
      <c r="B394" s="1">
        <v>43134</v>
      </c>
      <c r="C394" t="s">
        <v>539</v>
      </c>
      <c r="D394" t="s">
        <v>540</v>
      </c>
      <c r="E394" t="s">
        <v>540</v>
      </c>
      <c r="F394">
        <f>_xlfn.XLOOKUP(Orders4[[#This Row],[Order ID]],Details!$A:$A, Details!$B:$B)</f>
        <v>610</v>
      </c>
      <c r="G394">
        <f>_xlfn.XLOOKUP(Orders4[[#This Row],[Order ID]],Details!$A:$A,Details!C:C)</f>
        <v>208</v>
      </c>
      <c r="H394">
        <f>_xlfn.XLOOKUP(Orders4[[#This Row],[Order ID]],Details!$A:$A,Details!$D:$D)</f>
        <v>3</v>
      </c>
      <c r="I394" t="str">
        <f>_xlfn.XLOOKUP(Orders4[[#This Row],[Order ID]],Details!A:A,Details!$E:$E)</f>
        <v>Electronics</v>
      </c>
      <c r="J394" t="str">
        <f>_xlfn.XLOOKUP(Orders4[[#This Row],[Order ID]],Details!$A:$A,Details!$F:$F)</f>
        <v>Printers</v>
      </c>
      <c r="K394" t="str">
        <f>_xlfn.XLOOKUP(Orders4[[#This Row],[Order ID]],Details!$A:$A,Details!$G:$G)</f>
        <v>COD</v>
      </c>
      <c r="L394">
        <f>Orders4[[#This Row],[Amount]]/Orders4[[#This Row],[Quantity]]</f>
        <v>203.33333333333334</v>
      </c>
    </row>
    <row r="395" spans="1:12" x14ac:dyDescent="0.25">
      <c r="A395" t="s">
        <v>311</v>
      </c>
      <c r="B395" s="1">
        <v>43134</v>
      </c>
      <c r="C395" t="s">
        <v>801</v>
      </c>
      <c r="D395" t="s">
        <v>540</v>
      </c>
      <c r="E395" t="s">
        <v>540</v>
      </c>
      <c r="F395">
        <f>_xlfn.XLOOKUP(Orders4[[#This Row],[Order ID]],Details!$A:$A, Details!$B:$B)</f>
        <v>196</v>
      </c>
      <c r="G395">
        <f>_xlfn.XLOOKUP(Orders4[[#This Row],[Order ID]],Details!$A:$A,Details!C:C)</f>
        <v>-7</v>
      </c>
      <c r="H395">
        <f>_xlfn.XLOOKUP(Orders4[[#This Row],[Order ID]],Details!$A:$A,Details!$D:$D)</f>
        <v>5</v>
      </c>
      <c r="I395" t="str">
        <f>_xlfn.XLOOKUP(Orders4[[#This Row],[Order ID]],Details!A:A,Details!$E:$E)</f>
        <v>Electronics</v>
      </c>
      <c r="J395" t="str">
        <f>_xlfn.XLOOKUP(Orders4[[#This Row],[Order ID]],Details!$A:$A,Details!$F:$F)</f>
        <v>Phones</v>
      </c>
      <c r="K395" t="str">
        <f>_xlfn.XLOOKUP(Orders4[[#This Row],[Order ID]],Details!$A:$A,Details!$G:$G)</f>
        <v>COD</v>
      </c>
      <c r="L395">
        <f>Orders4[[#This Row],[Amount]]/Orders4[[#This Row],[Quantity]]</f>
        <v>39.200000000000003</v>
      </c>
    </row>
    <row r="396" spans="1:12" x14ac:dyDescent="0.25">
      <c r="A396" t="s">
        <v>92</v>
      </c>
      <c r="B396" s="1">
        <v>43135</v>
      </c>
      <c r="C396" t="s">
        <v>623</v>
      </c>
      <c r="D396" t="s">
        <v>540</v>
      </c>
      <c r="E396" t="s">
        <v>540</v>
      </c>
      <c r="F396">
        <f>_xlfn.XLOOKUP(Orders4[[#This Row],[Order ID]],Details!$A:$A, Details!$B:$B)</f>
        <v>1314</v>
      </c>
      <c r="G396">
        <f>_xlfn.XLOOKUP(Orders4[[#This Row],[Order ID]],Details!$A:$A,Details!C:C)</f>
        <v>342</v>
      </c>
      <c r="H396">
        <f>_xlfn.XLOOKUP(Orders4[[#This Row],[Order ID]],Details!$A:$A,Details!$D:$D)</f>
        <v>3</v>
      </c>
      <c r="I396" t="str">
        <f>_xlfn.XLOOKUP(Orders4[[#This Row],[Order ID]],Details!A:A,Details!$E:$E)</f>
        <v>Furniture</v>
      </c>
      <c r="J396" t="str">
        <f>_xlfn.XLOOKUP(Orders4[[#This Row],[Order ID]],Details!$A:$A,Details!$F:$F)</f>
        <v>Bookcases</v>
      </c>
      <c r="K396" t="str">
        <f>_xlfn.XLOOKUP(Orders4[[#This Row],[Order ID]],Details!$A:$A,Details!$G:$G)</f>
        <v>Credit Card</v>
      </c>
      <c r="L396">
        <f>Orders4[[#This Row],[Amount]]/Orders4[[#This Row],[Quantity]]</f>
        <v>438</v>
      </c>
    </row>
    <row r="397" spans="1:12" x14ac:dyDescent="0.25">
      <c r="A397" t="s">
        <v>173</v>
      </c>
      <c r="B397" s="1">
        <v>43135</v>
      </c>
      <c r="C397" t="s">
        <v>769</v>
      </c>
      <c r="D397" t="s">
        <v>540</v>
      </c>
      <c r="E397" t="s">
        <v>540</v>
      </c>
      <c r="F397">
        <f>_xlfn.XLOOKUP(Orders4[[#This Row],[Order ID]],Details!$A:$A, Details!$B:$B)</f>
        <v>31</v>
      </c>
      <c r="G397">
        <f>_xlfn.XLOOKUP(Orders4[[#This Row],[Order ID]],Details!$A:$A,Details!C:C)</f>
        <v>2</v>
      </c>
      <c r="H397">
        <f>_xlfn.XLOOKUP(Orders4[[#This Row],[Order ID]],Details!$A:$A,Details!$D:$D)</f>
        <v>2</v>
      </c>
      <c r="I397" t="str">
        <f>_xlfn.XLOOKUP(Orders4[[#This Row],[Order ID]],Details!A:A,Details!$E:$E)</f>
        <v>Clothing</v>
      </c>
      <c r="J397" t="str">
        <f>_xlfn.XLOOKUP(Orders4[[#This Row],[Order ID]],Details!$A:$A,Details!$F:$F)</f>
        <v>Hankerchief</v>
      </c>
      <c r="K397" t="str">
        <f>_xlfn.XLOOKUP(Orders4[[#This Row],[Order ID]],Details!$A:$A,Details!$G:$G)</f>
        <v>COD</v>
      </c>
      <c r="L397">
        <f>Orders4[[#This Row],[Amount]]/Orders4[[#This Row],[Quantity]]</f>
        <v>15.5</v>
      </c>
    </row>
    <row r="398" spans="1:12" x14ac:dyDescent="0.25">
      <c r="A398" t="s">
        <v>321</v>
      </c>
      <c r="B398" s="1">
        <v>43135</v>
      </c>
      <c r="C398" t="s">
        <v>562</v>
      </c>
      <c r="D398" t="s">
        <v>543</v>
      </c>
      <c r="E398" t="s">
        <v>551</v>
      </c>
      <c r="F398">
        <f>_xlfn.XLOOKUP(Orders4[[#This Row],[Order ID]],Details!$A:$A, Details!$B:$B)</f>
        <v>231</v>
      </c>
      <c r="G398">
        <f>_xlfn.XLOOKUP(Orders4[[#This Row],[Order ID]],Details!$A:$A,Details!C:C)</f>
        <v>99</v>
      </c>
      <c r="H398">
        <f>_xlfn.XLOOKUP(Orders4[[#This Row],[Order ID]],Details!$A:$A,Details!$D:$D)</f>
        <v>2</v>
      </c>
      <c r="I398" t="str">
        <f>_xlfn.XLOOKUP(Orders4[[#This Row],[Order ID]],Details!A:A,Details!$E:$E)</f>
        <v>Electronics</v>
      </c>
      <c r="J398" t="str">
        <f>_xlfn.XLOOKUP(Orders4[[#This Row],[Order ID]],Details!$A:$A,Details!$F:$F)</f>
        <v>Electronic Games</v>
      </c>
      <c r="K398" t="str">
        <f>_xlfn.XLOOKUP(Orders4[[#This Row],[Order ID]],Details!$A:$A,Details!$G:$G)</f>
        <v>Credit Card</v>
      </c>
      <c r="L398">
        <f>Orders4[[#This Row],[Amount]]/Orders4[[#This Row],[Quantity]]</f>
        <v>115.5</v>
      </c>
    </row>
    <row r="399" spans="1:12" x14ac:dyDescent="0.25">
      <c r="A399" t="s">
        <v>303</v>
      </c>
      <c r="B399" s="1">
        <v>43135</v>
      </c>
      <c r="C399" t="s">
        <v>887</v>
      </c>
      <c r="D399" t="s">
        <v>595</v>
      </c>
      <c r="E399" t="s">
        <v>596</v>
      </c>
      <c r="F399">
        <f>_xlfn.XLOOKUP(Orders4[[#This Row],[Order ID]],Details!$A:$A, Details!$B:$B)</f>
        <v>50</v>
      </c>
      <c r="G399">
        <f>_xlfn.XLOOKUP(Orders4[[#This Row],[Order ID]],Details!$A:$A,Details!C:C)</f>
        <v>-28</v>
      </c>
      <c r="H399">
        <f>_xlfn.XLOOKUP(Orders4[[#This Row],[Order ID]],Details!$A:$A,Details!$D:$D)</f>
        <v>5</v>
      </c>
      <c r="I399" t="str">
        <f>_xlfn.XLOOKUP(Orders4[[#This Row],[Order ID]],Details!A:A,Details!$E:$E)</f>
        <v>Furniture</v>
      </c>
      <c r="J399" t="str">
        <f>_xlfn.XLOOKUP(Orders4[[#This Row],[Order ID]],Details!$A:$A,Details!$F:$F)</f>
        <v>Furnishings</v>
      </c>
      <c r="K399" t="str">
        <f>_xlfn.XLOOKUP(Orders4[[#This Row],[Order ID]],Details!$A:$A,Details!$G:$G)</f>
        <v>COD</v>
      </c>
      <c r="L399">
        <f>Orders4[[#This Row],[Amount]]/Orders4[[#This Row],[Quantity]]</f>
        <v>10</v>
      </c>
    </row>
    <row r="400" spans="1:12" x14ac:dyDescent="0.25">
      <c r="A400" t="s">
        <v>292</v>
      </c>
      <c r="B400" s="1">
        <v>43136</v>
      </c>
      <c r="C400" t="s">
        <v>682</v>
      </c>
      <c r="D400" t="s">
        <v>540</v>
      </c>
      <c r="E400" t="s">
        <v>540</v>
      </c>
      <c r="F400">
        <f>_xlfn.XLOOKUP(Orders4[[#This Row],[Order ID]],Details!$A:$A, Details!$B:$B)</f>
        <v>223</v>
      </c>
      <c r="G400">
        <f>_xlfn.XLOOKUP(Orders4[[#This Row],[Order ID]],Details!$A:$A,Details!C:C)</f>
        <v>62</v>
      </c>
      <c r="H400">
        <f>_xlfn.XLOOKUP(Orders4[[#This Row],[Order ID]],Details!$A:$A,Details!$D:$D)</f>
        <v>7</v>
      </c>
      <c r="I400" t="str">
        <f>_xlfn.XLOOKUP(Orders4[[#This Row],[Order ID]],Details!A:A,Details!$E:$E)</f>
        <v>Clothing</v>
      </c>
      <c r="J400" t="str">
        <f>_xlfn.XLOOKUP(Orders4[[#This Row],[Order ID]],Details!$A:$A,Details!$F:$F)</f>
        <v>Shirt</v>
      </c>
      <c r="K400" t="str">
        <f>_xlfn.XLOOKUP(Orders4[[#This Row],[Order ID]],Details!$A:$A,Details!$G:$G)</f>
        <v>COD</v>
      </c>
      <c r="L400">
        <f>Orders4[[#This Row],[Amount]]/Orders4[[#This Row],[Quantity]]</f>
        <v>31.857142857142858</v>
      </c>
    </row>
    <row r="401" spans="1:12" x14ac:dyDescent="0.25">
      <c r="A401" t="s">
        <v>192</v>
      </c>
      <c r="B401" s="1">
        <v>43137</v>
      </c>
      <c r="C401" t="s">
        <v>701</v>
      </c>
      <c r="D401" t="s">
        <v>540</v>
      </c>
      <c r="E401" t="s">
        <v>540</v>
      </c>
      <c r="F401">
        <f>_xlfn.XLOOKUP(Orders4[[#This Row],[Order ID]],Details!$A:$A, Details!$B:$B)</f>
        <v>676</v>
      </c>
      <c r="G401">
        <f>_xlfn.XLOOKUP(Orders4[[#This Row],[Order ID]],Details!$A:$A,Details!C:C)</f>
        <v>151</v>
      </c>
      <c r="H401">
        <f>_xlfn.XLOOKUP(Orders4[[#This Row],[Order ID]],Details!$A:$A,Details!$D:$D)</f>
        <v>3</v>
      </c>
      <c r="I401" t="str">
        <f>_xlfn.XLOOKUP(Orders4[[#This Row],[Order ID]],Details!A:A,Details!$E:$E)</f>
        <v>Electronics</v>
      </c>
      <c r="J401" t="str">
        <f>_xlfn.XLOOKUP(Orders4[[#This Row],[Order ID]],Details!$A:$A,Details!$F:$F)</f>
        <v>Printers</v>
      </c>
      <c r="K401" t="str">
        <f>_xlfn.XLOOKUP(Orders4[[#This Row],[Order ID]],Details!$A:$A,Details!$G:$G)</f>
        <v>Credit Card</v>
      </c>
      <c r="L401">
        <f>Orders4[[#This Row],[Amount]]/Orders4[[#This Row],[Quantity]]</f>
        <v>225.33333333333334</v>
      </c>
    </row>
    <row r="402" spans="1:12" x14ac:dyDescent="0.25">
      <c r="A402" t="s">
        <v>49</v>
      </c>
      <c r="B402" s="1">
        <v>43138</v>
      </c>
      <c r="C402" t="s">
        <v>825</v>
      </c>
      <c r="D402" t="s">
        <v>540</v>
      </c>
      <c r="E402" t="s">
        <v>540</v>
      </c>
      <c r="F402">
        <f>_xlfn.XLOOKUP(Orders4[[#This Row],[Order ID]],Details!$A:$A, Details!$B:$B)</f>
        <v>8</v>
      </c>
      <c r="G402">
        <f>_xlfn.XLOOKUP(Orders4[[#This Row],[Order ID]],Details!$A:$A,Details!C:C)</f>
        <v>2</v>
      </c>
      <c r="H402">
        <f>_xlfn.XLOOKUP(Orders4[[#This Row],[Order ID]],Details!$A:$A,Details!$D:$D)</f>
        <v>2</v>
      </c>
      <c r="I402" t="str">
        <f>_xlfn.XLOOKUP(Orders4[[#This Row],[Order ID]],Details!A:A,Details!$E:$E)</f>
        <v>Clothing</v>
      </c>
      <c r="J402" t="str">
        <f>_xlfn.XLOOKUP(Orders4[[#This Row],[Order ID]],Details!$A:$A,Details!$F:$F)</f>
        <v>Skirt</v>
      </c>
      <c r="K402" t="str">
        <f>_xlfn.XLOOKUP(Orders4[[#This Row],[Order ID]],Details!$A:$A,Details!$G:$G)</f>
        <v>UPI</v>
      </c>
      <c r="L402">
        <f>Orders4[[#This Row],[Amount]]/Orders4[[#This Row],[Quantity]]</f>
        <v>4</v>
      </c>
    </row>
    <row r="403" spans="1:12" x14ac:dyDescent="0.25">
      <c r="A403" t="s">
        <v>301</v>
      </c>
      <c r="B403" s="1">
        <v>43139</v>
      </c>
      <c r="C403" t="s">
        <v>668</v>
      </c>
      <c r="D403" t="s">
        <v>540</v>
      </c>
      <c r="E403" t="s">
        <v>540</v>
      </c>
      <c r="F403">
        <f>_xlfn.XLOOKUP(Orders4[[#This Row],[Order ID]],Details!$A:$A, Details!$B:$B)</f>
        <v>276</v>
      </c>
      <c r="G403">
        <f>_xlfn.XLOOKUP(Orders4[[#This Row],[Order ID]],Details!$A:$A,Details!C:C)</f>
        <v>52</v>
      </c>
      <c r="H403">
        <f>_xlfn.XLOOKUP(Orders4[[#This Row],[Order ID]],Details!$A:$A,Details!$D:$D)</f>
        <v>5</v>
      </c>
      <c r="I403" t="str">
        <f>_xlfn.XLOOKUP(Orders4[[#This Row],[Order ID]],Details!A:A,Details!$E:$E)</f>
        <v>Clothing</v>
      </c>
      <c r="J403" t="str">
        <f>_xlfn.XLOOKUP(Orders4[[#This Row],[Order ID]],Details!$A:$A,Details!$F:$F)</f>
        <v>Saree</v>
      </c>
      <c r="K403" t="str">
        <f>_xlfn.XLOOKUP(Orders4[[#This Row],[Order ID]],Details!$A:$A,Details!$G:$G)</f>
        <v>EMI</v>
      </c>
      <c r="L403">
        <f>Orders4[[#This Row],[Amount]]/Orders4[[#This Row],[Quantity]]</f>
        <v>55.2</v>
      </c>
    </row>
    <row r="404" spans="1:12" x14ac:dyDescent="0.25">
      <c r="A404" t="s">
        <v>60</v>
      </c>
      <c r="B404" s="1">
        <v>43139</v>
      </c>
      <c r="C404" t="s">
        <v>577</v>
      </c>
      <c r="D404" t="s">
        <v>546</v>
      </c>
      <c r="E404" t="s">
        <v>578</v>
      </c>
      <c r="F404">
        <f>_xlfn.XLOOKUP(Orders4[[#This Row],[Order ID]],Details!$A:$A, Details!$B:$B)</f>
        <v>1745</v>
      </c>
      <c r="G404">
        <f>_xlfn.XLOOKUP(Orders4[[#This Row],[Order ID]],Details!$A:$A,Details!C:C)</f>
        <v>122</v>
      </c>
      <c r="H404">
        <f>_xlfn.XLOOKUP(Orders4[[#This Row],[Order ID]],Details!$A:$A,Details!$D:$D)</f>
        <v>2</v>
      </c>
      <c r="I404" t="str">
        <f>_xlfn.XLOOKUP(Orders4[[#This Row],[Order ID]],Details!A:A,Details!$E:$E)</f>
        <v>Furniture</v>
      </c>
      <c r="J404" t="str">
        <f>_xlfn.XLOOKUP(Orders4[[#This Row],[Order ID]],Details!$A:$A,Details!$F:$F)</f>
        <v>Tables</v>
      </c>
      <c r="K404" t="str">
        <f>_xlfn.XLOOKUP(Orders4[[#This Row],[Order ID]],Details!$A:$A,Details!$G:$G)</f>
        <v>Credit Card</v>
      </c>
      <c r="L404">
        <f>Orders4[[#This Row],[Amount]]/Orders4[[#This Row],[Quantity]]</f>
        <v>872.5</v>
      </c>
    </row>
    <row r="405" spans="1:12" x14ac:dyDescent="0.25">
      <c r="A405" t="s">
        <v>327</v>
      </c>
      <c r="B405" s="1">
        <v>43139</v>
      </c>
      <c r="C405" t="s">
        <v>816</v>
      </c>
      <c r="D405" t="s">
        <v>595</v>
      </c>
      <c r="E405" t="s">
        <v>635</v>
      </c>
      <c r="F405">
        <f>_xlfn.XLOOKUP(Orders4[[#This Row],[Order ID]],Details!$A:$A, Details!$B:$B)</f>
        <v>162</v>
      </c>
      <c r="G405">
        <f>_xlfn.XLOOKUP(Orders4[[#This Row],[Order ID]],Details!$A:$A,Details!C:C)</f>
        <v>73</v>
      </c>
      <c r="H405">
        <f>_xlfn.XLOOKUP(Orders4[[#This Row],[Order ID]],Details!$A:$A,Details!$D:$D)</f>
        <v>2</v>
      </c>
      <c r="I405" t="str">
        <f>_xlfn.XLOOKUP(Orders4[[#This Row],[Order ID]],Details!A:A,Details!$E:$E)</f>
        <v>Electronics</v>
      </c>
      <c r="J405" t="str">
        <f>_xlfn.XLOOKUP(Orders4[[#This Row],[Order ID]],Details!$A:$A,Details!$F:$F)</f>
        <v>Electronic Games</v>
      </c>
      <c r="K405" t="str">
        <f>_xlfn.XLOOKUP(Orders4[[#This Row],[Order ID]],Details!$A:$A,Details!$G:$G)</f>
        <v>COD</v>
      </c>
      <c r="L405">
        <f>Orders4[[#This Row],[Amount]]/Orders4[[#This Row],[Quantity]]</f>
        <v>81</v>
      </c>
    </row>
    <row r="406" spans="1:12" x14ac:dyDescent="0.25">
      <c r="A406" t="s">
        <v>398</v>
      </c>
      <c r="B406" s="1">
        <v>43139</v>
      </c>
      <c r="C406" t="s">
        <v>865</v>
      </c>
      <c r="D406" t="s">
        <v>618</v>
      </c>
      <c r="E406" t="s">
        <v>619</v>
      </c>
      <c r="F406">
        <f>_xlfn.XLOOKUP(Orders4[[#This Row],[Order ID]],Details!$A:$A, Details!$B:$B)</f>
        <v>87</v>
      </c>
      <c r="G406">
        <f>_xlfn.XLOOKUP(Orders4[[#This Row],[Order ID]],Details!$A:$A,Details!C:C)</f>
        <v>10</v>
      </c>
      <c r="H406">
        <f>_xlfn.XLOOKUP(Orders4[[#This Row],[Order ID]],Details!$A:$A,Details!$D:$D)</f>
        <v>3</v>
      </c>
      <c r="I406" t="str">
        <f>_xlfn.XLOOKUP(Orders4[[#This Row],[Order ID]],Details!A:A,Details!$E:$E)</f>
        <v>Clothing</v>
      </c>
      <c r="J406" t="str">
        <f>_xlfn.XLOOKUP(Orders4[[#This Row],[Order ID]],Details!$A:$A,Details!$F:$F)</f>
        <v>Stole</v>
      </c>
      <c r="K406" t="str">
        <f>_xlfn.XLOOKUP(Orders4[[#This Row],[Order ID]],Details!$A:$A,Details!$G:$G)</f>
        <v>COD</v>
      </c>
      <c r="L406">
        <f>Orders4[[#This Row],[Amount]]/Orders4[[#This Row],[Quantity]]</f>
        <v>29</v>
      </c>
    </row>
    <row r="407" spans="1:12" x14ac:dyDescent="0.25">
      <c r="A407" t="s">
        <v>98</v>
      </c>
      <c r="B407" s="1">
        <v>43140</v>
      </c>
      <c r="C407" t="s">
        <v>625</v>
      </c>
      <c r="D407" t="s">
        <v>598</v>
      </c>
      <c r="E407" t="s">
        <v>599</v>
      </c>
      <c r="F407">
        <f>_xlfn.XLOOKUP(Orders4[[#This Row],[Order ID]],Details!$A:$A, Details!$B:$B)</f>
        <v>1301</v>
      </c>
      <c r="G407">
        <f>_xlfn.XLOOKUP(Orders4[[#This Row],[Order ID]],Details!$A:$A,Details!C:C)</f>
        <v>573</v>
      </c>
      <c r="H407">
        <f>_xlfn.XLOOKUP(Orders4[[#This Row],[Order ID]],Details!$A:$A,Details!$D:$D)</f>
        <v>5</v>
      </c>
      <c r="I407" t="str">
        <f>_xlfn.XLOOKUP(Orders4[[#This Row],[Order ID]],Details!A:A,Details!$E:$E)</f>
        <v>Electronics</v>
      </c>
      <c r="J407" t="str">
        <f>_xlfn.XLOOKUP(Orders4[[#This Row],[Order ID]],Details!$A:$A,Details!$F:$F)</f>
        <v>Accessories</v>
      </c>
      <c r="K407" t="str">
        <f>_xlfn.XLOOKUP(Orders4[[#This Row],[Order ID]],Details!$A:$A,Details!$G:$G)</f>
        <v>Credit Card</v>
      </c>
      <c r="L407">
        <f>Orders4[[#This Row],[Amount]]/Orders4[[#This Row],[Quantity]]</f>
        <v>260.2</v>
      </c>
    </row>
    <row r="408" spans="1:12" x14ac:dyDescent="0.25">
      <c r="A408" t="s">
        <v>244</v>
      </c>
      <c r="B408" s="1">
        <v>43140</v>
      </c>
      <c r="C408" t="s">
        <v>701</v>
      </c>
      <c r="D408" t="s">
        <v>627</v>
      </c>
      <c r="E408" t="s">
        <v>628</v>
      </c>
      <c r="F408">
        <f>_xlfn.XLOOKUP(Orders4[[#This Row],[Order ID]],Details!$A:$A, Details!$B:$B)</f>
        <v>311</v>
      </c>
      <c r="G408">
        <f>_xlfn.XLOOKUP(Orders4[[#This Row],[Order ID]],Details!$A:$A,Details!C:C)</f>
        <v>72</v>
      </c>
      <c r="H408">
        <f>_xlfn.XLOOKUP(Orders4[[#This Row],[Order ID]],Details!$A:$A,Details!$D:$D)</f>
        <v>2</v>
      </c>
      <c r="I408" t="str">
        <f>_xlfn.XLOOKUP(Orders4[[#This Row],[Order ID]],Details!A:A,Details!$E:$E)</f>
        <v>Furniture</v>
      </c>
      <c r="J408" t="str">
        <f>_xlfn.XLOOKUP(Orders4[[#This Row],[Order ID]],Details!$A:$A,Details!$F:$F)</f>
        <v>Bookcases</v>
      </c>
      <c r="K408" t="str">
        <f>_xlfn.XLOOKUP(Orders4[[#This Row],[Order ID]],Details!$A:$A,Details!$G:$G)</f>
        <v>COD</v>
      </c>
      <c r="L408">
        <f>Orders4[[#This Row],[Amount]]/Orders4[[#This Row],[Quantity]]</f>
        <v>155.5</v>
      </c>
    </row>
    <row r="409" spans="1:12" x14ac:dyDescent="0.25">
      <c r="A409" t="s">
        <v>332</v>
      </c>
      <c r="B409" s="1">
        <v>43140</v>
      </c>
      <c r="C409" t="s">
        <v>798</v>
      </c>
      <c r="D409" t="s">
        <v>612</v>
      </c>
      <c r="E409" t="s">
        <v>613</v>
      </c>
      <c r="F409">
        <f>_xlfn.XLOOKUP(Orders4[[#This Row],[Order ID]],Details!$A:$A, Details!$B:$B)</f>
        <v>206</v>
      </c>
      <c r="G409">
        <f>_xlfn.XLOOKUP(Orders4[[#This Row],[Order ID]],Details!$A:$A,Details!C:C)</f>
        <v>51</v>
      </c>
      <c r="H409">
        <f>_xlfn.XLOOKUP(Orders4[[#This Row],[Order ID]],Details!$A:$A,Details!$D:$D)</f>
        <v>4</v>
      </c>
      <c r="I409" t="str">
        <f>_xlfn.XLOOKUP(Orders4[[#This Row],[Order ID]],Details!A:A,Details!$E:$E)</f>
        <v>Clothing</v>
      </c>
      <c r="J409" t="str">
        <f>_xlfn.XLOOKUP(Orders4[[#This Row],[Order ID]],Details!$A:$A,Details!$F:$F)</f>
        <v>Hankerchief</v>
      </c>
      <c r="K409" t="str">
        <f>_xlfn.XLOOKUP(Orders4[[#This Row],[Order ID]],Details!$A:$A,Details!$G:$G)</f>
        <v>Credit Card</v>
      </c>
      <c r="L409">
        <f>Orders4[[#This Row],[Amount]]/Orders4[[#This Row],[Quantity]]</f>
        <v>51.5</v>
      </c>
    </row>
    <row r="410" spans="1:12" x14ac:dyDescent="0.25">
      <c r="A410" t="s">
        <v>256</v>
      </c>
      <c r="B410" s="1">
        <v>43141</v>
      </c>
      <c r="C410" t="s">
        <v>779</v>
      </c>
      <c r="D410" t="s">
        <v>537</v>
      </c>
      <c r="E410" t="s">
        <v>607</v>
      </c>
      <c r="F410">
        <f>_xlfn.XLOOKUP(Orders4[[#This Row],[Order ID]],Details!$A:$A, Details!$B:$B)</f>
        <v>285</v>
      </c>
      <c r="G410">
        <f>_xlfn.XLOOKUP(Orders4[[#This Row],[Order ID]],Details!$A:$A,Details!C:C)</f>
        <v>128</v>
      </c>
      <c r="H410">
        <f>_xlfn.XLOOKUP(Orders4[[#This Row],[Order ID]],Details!$A:$A,Details!$D:$D)</f>
        <v>2</v>
      </c>
      <c r="I410" t="str">
        <f>_xlfn.XLOOKUP(Orders4[[#This Row],[Order ID]],Details!A:A,Details!$E:$E)</f>
        <v>Electronics</v>
      </c>
      <c r="J410" t="str">
        <f>_xlfn.XLOOKUP(Orders4[[#This Row],[Order ID]],Details!$A:$A,Details!$F:$F)</f>
        <v>Printers</v>
      </c>
      <c r="K410" t="str">
        <f>_xlfn.XLOOKUP(Orders4[[#This Row],[Order ID]],Details!$A:$A,Details!$G:$G)</f>
        <v>COD</v>
      </c>
      <c r="L410">
        <f>Orders4[[#This Row],[Amount]]/Orders4[[#This Row],[Quantity]]</f>
        <v>142.5</v>
      </c>
    </row>
    <row r="411" spans="1:12" x14ac:dyDescent="0.25">
      <c r="A411" t="s">
        <v>299</v>
      </c>
      <c r="B411" s="1">
        <v>43142</v>
      </c>
      <c r="C411" t="s">
        <v>729</v>
      </c>
      <c r="D411" t="s">
        <v>568</v>
      </c>
      <c r="E411" t="s">
        <v>569</v>
      </c>
      <c r="F411">
        <f>_xlfn.XLOOKUP(Orders4[[#This Row],[Order ID]],Details!$A:$A, Details!$B:$B)</f>
        <v>55</v>
      </c>
      <c r="G411">
        <f>_xlfn.XLOOKUP(Orders4[[#This Row],[Order ID]],Details!$A:$A,Details!C:C)</f>
        <v>3</v>
      </c>
      <c r="H411">
        <f>_xlfn.XLOOKUP(Orders4[[#This Row],[Order ID]],Details!$A:$A,Details!$D:$D)</f>
        <v>3</v>
      </c>
      <c r="I411" t="str">
        <f>_xlfn.XLOOKUP(Orders4[[#This Row],[Order ID]],Details!A:A,Details!$E:$E)</f>
        <v>Clothing</v>
      </c>
      <c r="J411" t="str">
        <f>_xlfn.XLOOKUP(Orders4[[#This Row],[Order ID]],Details!$A:$A,Details!$F:$F)</f>
        <v>T-shirt</v>
      </c>
      <c r="K411" t="str">
        <f>_xlfn.XLOOKUP(Orders4[[#This Row],[Order ID]],Details!$A:$A,Details!$G:$G)</f>
        <v>COD</v>
      </c>
      <c r="L411">
        <f>Orders4[[#This Row],[Amount]]/Orders4[[#This Row],[Quantity]]</f>
        <v>18.333333333333332</v>
      </c>
    </row>
    <row r="412" spans="1:12" x14ac:dyDescent="0.25">
      <c r="A412" t="s">
        <v>442</v>
      </c>
      <c r="B412" s="1">
        <v>43143</v>
      </c>
      <c r="C412" t="s">
        <v>630</v>
      </c>
      <c r="D412" t="s">
        <v>559</v>
      </c>
      <c r="E412" t="s">
        <v>566</v>
      </c>
      <c r="F412">
        <f>_xlfn.XLOOKUP(Orders4[[#This Row],[Order ID]],Details!$A:$A, Details!$B:$B)</f>
        <v>93</v>
      </c>
      <c r="G412">
        <f>_xlfn.XLOOKUP(Orders4[[#This Row],[Order ID]],Details!$A:$A,Details!C:C)</f>
        <v>44</v>
      </c>
      <c r="H412">
        <f>_xlfn.XLOOKUP(Orders4[[#This Row],[Order ID]],Details!$A:$A,Details!$D:$D)</f>
        <v>2</v>
      </c>
      <c r="I412" t="str">
        <f>_xlfn.XLOOKUP(Orders4[[#This Row],[Order ID]],Details!A:A,Details!$E:$E)</f>
        <v>Clothing</v>
      </c>
      <c r="J412" t="str">
        <f>_xlfn.XLOOKUP(Orders4[[#This Row],[Order ID]],Details!$A:$A,Details!$F:$F)</f>
        <v>Stole</v>
      </c>
      <c r="K412" t="str">
        <f>_xlfn.XLOOKUP(Orders4[[#This Row],[Order ID]],Details!$A:$A,Details!$G:$G)</f>
        <v>Credit Card</v>
      </c>
      <c r="L412">
        <f>Orders4[[#This Row],[Amount]]/Orders4[[#This Row],[Quantity]]</f>
        <v>46.5</v>
      </c>
    </row>
    <row r="413" spans="1:12" x14ac:dyDescent="0.25">
      <c r="A413" t="s">
        <v>455</v>
      </c>
      <c r="B413" s="1">
        <v>43144</v>
      </c>
      <c r="C413" t="s">
        <v>897</v>
      </c>
      <c r="D413" t="s">
        <v>543</v>
      </c>
      <c r="E413" t="s">
        <v>551</v>
      </c>
      <c r="F413">
        <f>_xlfn.XLOOKUP(Orders4[[#This Row],[Order ID]],Details!$A:$A, Details!$B:$B)</f>
        <v>199</v>
      </c>
      <c r="G413">
        <f>_xlfn.XLOOKUP(Orders4[[#This Row],[Order ID]],Details!$A:$A,Details!C:C)</f>
        <v>8</v>
      </c>
      <c r="H413">
        <f>_xlfn.XLOOKUP(Orders4[[#This Row],[Order ID]],Details!$A:$A,Details!$D:$D)</f>
        <v>2</v>
      </c>
      <c r="I413" t="str">
        <f>_xlfn.XLOOKUP(Orders4[[#This Row],[Order ID]],Details!A:A,Details!$E:$E)</f>
        <v>Clothing</v>
      </c>
      <c r="J413" t="str">
        <f>_xlfn.XLOOKUP(Orders4[[#This Row],[Order ID]],Details!$A:$A,Details!$F:$F)</f>
        <v>Saree</v>
      </c>
      <c r="K413" t="str">
        <f>_xlfn.XLOOKUP(Orders4[[#This Row],[Order ID]],Details!$A:$A,Details!$G:$G)</f>
        <v>COD</v>
      </c>
      <c r="L413">
        <f>Orders4[[#This Row],[Amount]]/Orders4[[#This Row],[Quantity]]</f>
        <v>99.5</v>
      </c>
    </row>
    <row r="414" spans="1:12" x14ac:dyDescent="0.25">
      <c r="A414" t="s">
        <v>499</v>
      </c>
      <c r="B414" s="1">
        <v>43144</v>
      </c>
      <c r="C414" t="s">
        <v>616</v>
      </c>
      <c r="D414" t="s">
        <v>546</v>
      </c>
      <c r="E414" t="s">
        <v>578</v>
      </c>
      <c r="F414">
        <f>_xlfn.XLOOKUP(Orders4[[#This Row],[Order ID]],Details!$A:$A, Details!$B:$B)</f>
        <v>29</v>
      </c>
      <c r="G414">
        <f>_xlfn.XLOOKUP(Orders4[[#This Row],[Order ID]],Details!$A:$A,Details!C:C)</f>
        <v>-10</v>
      </c>
      <c r="H414">
        <f>_xlfn.XLOOKUP(Orders4[[#This Row],[Order ID]],Details!$A:$A,Details!$D:$D)</f>
        <v>3</v>
      </c>
      <c r="I414" t="str">
        <f>_xlfn.XLOOKUP(Orders4[[#This Row],[Order ID]],Details!A:A,Details!$E:$E)</f>
        <v>Clothing</v>
      </c>
      <c r="J414" t="str">
        <f>_xlfn.XLOOKUP(Orders4[[#This Row],[Order ID]],Details!$A:$A,Details!$F:$F)</f>
        <v>Skirt</v>
      </c>
      <c r="K414" t="str">
        <f>_xlfn.XLOOKUP(Orders4[[#This Row],[Order ID]],Details!$A:$A,Details!$G:$G)</f>
        <v>COD</v>
      </c>
      <c r="L414">
        <f>Orders4[[#This Row],[Amount]]/Orders4[[#This Row],[Quantity]]</f>
        <v>9.6666666666666661</v>
      </c>
    </row>
    <row r="415" spans="1:12" x14ac:dyDescent="0.25">
      <c r="A415" t="s">
        <v>261</v>
      </c>
      <c r="B415" s="1">
        <v>43144</v>
      </c>
      <c r="C415" t="s">
        <v>750</v>
      </c>
      <c r="D415" t="s">
        <v>595</v>
      </c>
      <c r="E415" t="s">
        <v>635</v>
      </c>
      <c r="F415">
        <f>_xlfn.XLOOKUP(Orders4[[#This Row],[Order ID]],Details!$A:$A, Details!$B:$B)</f>
        <v>406</v>
      </c>
      <c r="G415">
        <f>_xlfn.XLOOKUP(Orders4[[#This Row],[Order ID]],Details!$A:$A,Details!C:C)</f>
        <v>97</v>
      </c>
      <c r="H415">
        <f>_xlfn.XLOOKUP(Orders4[[#This Row],[Order ID]],Details!$A:$A,Details!$D:$D)</f>
        <v>7</v>
      </c>
      <c r="I415" t="str">
        <f>_xlfn.XLOOKUP(Orders4[[#This Row],[Order ID]],Details!A:A,Details!$E:$E)</f>
        <v>Furniture</v>
      </c>
      <c r="J415" t="str">
        <f>_xlfn.XLOOKUP(Orders4[[#This Row],[Order ID]],Details!$A:$A,Details!$F:$F)</f>
        <v>Chairs</v>
      </c>
      <c r="K415" t="str">
        <f>_xlfn.XLOOKUP(Orders4[[#This Row],[Order ID]],Details!$A:$A,Details!$G:$G)</f>
        <v>Credit Card</v>
      </c>
      <c r="L415">
        <f>Orders4[[#This Row],[Amount]]/Orders4[[#This Row],[Quantity]]</f>
        <v>58</v>
      </c>
    </row>
    <row r="416" spans="1:12" x14ac:dyDescent="0.25">
      <c r="A416" t="s">
        <v>490</v>
      </c>
      <c r="B416" s="1">
        <v>43145</v>
      </c>
      <c r="C416" t="s">
        <v>722</v>
      </c>
      <c r="D416" t="s">
        <v>618</v>
      </c>
      <c r="E416" t="s">
        <v>619</v>
      </c>
      <c r="F416">
        <f>_xlfn.XLOOKUP(Orders4[[#This Row],[Order ID]],Details!$A:$A, Details!$B:$B)</f>
        <v>128</v>
      </c>
      <c r="G416">
        <f>_xlfn.XLOOKUP(Orders4[[#This Row],[Order ID]],Details!$A:$A,Details!C:C)</f>
        <v>55</v>
      </c>
      <c r="H416">
        <f>_xlfn.XLOOKUP(Orders4[[#This Row],[Order ID]],Details!$A:$A,Details!$D:$D)</f>
        <v>1</v>
      </c>
      <c r="I416" t="str">
        <f>_xlfn.XLOOKUP(Orders4[[#This Row],[Order ID]],Details!A:A,Details!$E:$E)</f>
        <v>Clothing</v>
      </c>
      <c r="J416" t="str">
        <f>_xlfn.XLOOKUP(Orders4[[#This Row],[Order ID]],Details!$A:$A,Details!$F:$F)</f>
        <v>Saree</v>
      </c>
      <c r="K416" t="str">
        <f>_xlfn.XLOOKUP(Orders4[[#This Row],[Order ID]],Details!$A:$A,Details!$G:$G)</f>
        <v>COD</v>
      </c>
      <c r="L416">
        <f>Orders4[[#This Row],[Amount]]/Orders4[[#This Row],[Quantity]]</f>
        <v>128</v>
      </c>
    </row>
    <row r="417" spans="1:12" x14ac:dyDescent="0.25">
      <c r="A417" t="s">
        <v>212</v>
      </c>
      <c r="B417" s="1">
        <v>43145</v>
      </c>
      <c r="C417" t="s">
        <v>746</v>
      </c>
      <c r="D417" t="s">
        <v>598</v>
      </c>
      <c r="E417" t="s">
        <v>599</v>
      </c>
      <c r="F417">
        <f>_xlfn.XLOOKUP(Orders4[[#This Row],[Order ID]],Details!$A:$A, Details!$B:$B)</f>
        <v>202</v>
      </c>
      <c r="G417">
        <f>_xlfn.XLOOKUP(Orders4[[#This Row],[Order ID]],Details!$A:$A,Details!C:C)</f>
        <v>4</v>
      </c>
      <c r="H417">
        <f>_xlfn.XLOOKUP(Orders4[[#This Row],[Order ID]],Details!$A:$A,Details!$D:$D)</f>
        <v>4</v>
      </c>
      <c r="I417" t="str">
        <f>_xlfn.XLOOKUP(Orders4[[#This Row],[Order ID]],Details!A:A,Details!$E:$E)</f>
        <v>Clothing</v>
      </c>
      <c r="J417" t="str">
        <f>_xlfn.XLOOKUP(Orders4[[#This Row],[Order ID]],Details!$A:$A,Details!$F:$F)</f>
        <v>Hankerchief</v>
      </c>
      <c r="K417" t="str">
        <f>_xlfn.XLOOKUP(Orders4[[#This Row],[Order ID]],Details!$A:$A,Details!$G:$G)</f>
        <v>COD</v>
      </c>
      <c r="L417">
        <f>Orders4[[#This Row],[Amount]]/Orders4[[#This Row],[Quantity]]</f>
        <v>50.5</v>
      </c>
    </row>
    <row r="418" spans="1:12" x14ac:dyDescent="0.25">
      <c r="A418" t="s">
        <v>410</v>
      </c>
      <c r="B418" s="1">
        <v>43145</v>
      </c>
      <c r="C418" t="s">
        <v>851</v>
      </c>
      <c r="D418" t="s">
        <v>627</v>
      </c>
      <c r="E418" t="s">
        <v>628</v>
      </c>
      <c r="F418">
        <f>_xlfn.XLOOKUP(Orders4[[#This Row],[Order ID]],Details!$A:$A, Details!$B:$B)</f>
        <v>78</v>
      </c>
      <c r="G418">
        <f>_xlfn.XLOOKUP(Orders4[[#This Row],[Order ID]],Details!$A:$A,Details!C:C)</f>
        <v>7</v>
      </c>
      <c r="H418">
        <f>_xlfn.XLOOKUP(Orders4[[#This Row],[Order ID]],Details!$A:$A,Details!$D:$D)</f>
        <v>1</v>
      </c>
      <c r="I418" t="str">
        <f>_xlfn.XLOOKUP(Orders4[[#This Row],[Order ID]],Details!A:A,Details!$E:$E)</f>
        <v>Furniture</v>
      </c>
      <c r="J418" t="str">
        <f>_xlfn.XLOOKUP(Orders4[[#This Row],[Order ID]],Details!$A:$A,Details!$F:$F)</f>
        <v>Chairs</v>
      </c>
      <c r="K418" t="str">
        <f>_xlfn.XLOOKUP(Orders4[[#This Row],[Order ID]],Details!$A:$A,Details!$G:$G)</f>
        <v>COD</v>
      </c>
      <c r="L418">
        <f>Orders4[[#This Row],[Amount]]/Orders4[[#This Row],[Quantity]]</f>
        <v>78</v>
      </c>
    </row>
    <row r="419" spans="1:12" x14ac:dyDescent="0.25">
      <c r="A419" t="s">
        <v>309</v>
      </c>
      <c r="B419" s="1">
        <v>43145</v>
      </c>
      <c r="C419" t="s">
        <v>611</v>
      </c>
      <c r="D419" t="s">
        <v>612</v>
      </c>
      <c r="E419" t="s">
        <v>613</v>
      </c>
      <c r="F419">
        <f>_xlfn.XLOOKUP(Orders4[[#This Row],[Order ID]],Details!$A:$A, Details!$B:$B)</f>
        <v>61</v>
      </c>
      <c r="G419">
        <f>_xlfn.XLOOKUP(Orders4[[#This Row],[Order ID]],Details!$A:$A,Details!C:C)</f>
        <v>8</v>
      </c>
      <c r="H419">
        <f>_xlfn.XLOOKUP(Orders4[[#This Row],[Order ID]],Details!$A:$A,Details!$D:$D)</f>
        <v>4</v>
      </c>
      <c r="I419" t="str">
        <f>_xlfn.XLOOKUP(Orders4[[#This Row],[Order ID]],Details!A:A,Details!$E:$E)</f>
        <v>Clothing</v>
      </c>
      <c r="J419" t="str">
        <f>_xlfn.XLOOKUP(Orders4[[#This Row],[Order ID]],Details!$A:$A,Details!$F:$F)</f>
        <v>Hankerchief</v>
      </c>
      <c r="K419" t="str">
        <f>_xlfn.XLOOKUP(Orders4[[#This Row],[Order ID]],Details!$A:$A,Details!$G:$G)</f>
        <v>Debit Card</v>
      </c>
      <c r="L419">
        <f>Orders4[[#This Row],[Amount]]/Orders4[[#This Row],[Quantity]]</f>
        <v>15.25</v>
      </c>
    </row>
    <row r="420" spans="1:12" x14ac:dyDescent="0.25">
      <c r="A420" t="s">
        <v>168</v>
      </c>
      <c r="B420" s="1">
        <v>43146</v>
      </c>
      <c r="C420" t="s">
        <v>678</v>
      </c>
      <c r="D420" t="s">
        <v>537</v>
      </c>
      <c r="E420" t="s">
        <v>607</v>
      </c>
      <c r="F420">
        <f>_xlfn.XLOOKUP(Orders4[[#This Row],[Order ID]],Details!$A:$A, Details!$B:$B)</f>
        <v>585</v>
      </c>
      <c r="G420">
        <f>_xlfn.XLOOKUP(Orders4[[#This Row],[Order ID]],Details!$A:$A,Details!C:C)</f>
        <v>175</v>
      </c>
      <c r="H420">
        <f>_xlfn.XLOOKUP(Orders4[[#This Row],[Order ID]],Details!$A:$A,Details!$D:$D)</f>
        <v>13</v>
      </c>
      <c r="I420" t="str">
        <f>_xlfn.XLOOKUP(Orders4[[#This Row],[Order ID]],Details!A:A,Details!$E:$E)</f>
        <v>Clothing</v>
      </c>
      <c r="J420" t="str">
        <f>_xlfn.XLOOKUP(Orders4[[#This Row],[Order ID]],Details!$A:$A,Details!$F:$F)</f>
        <v>T-shirt</v>
      </c>
      <c r="K420" t="str">
        <f>_xlfn.XLOOKUP(Orders4[[#This Row],[Order ID]],Details!$A:$A,Details!$G:$G)</f>
        <v>COD</v>
      </c>
      <c r="L420">
        <f>Orders4[[#This Row],[Amount]]/Orders4[[#This Row],[Quantity]]</f>
        <v>45</v>
      </c>
    </row>
    <row r="421" spans="1:12" x14ac:dyDescent="0.25">
      <c r="A421" t="s">
        <v>296</v>
      </c>
      <c r="B421" s="1">
        <v>43147</v>
      </c>
      <c r="C421" t="s">
        <v>562</v>
      </c>
      <c r="D421" t="s">
        <v>568</v>
      </c>
      <c r="E421" t="s">
        <v>569</v>
      </c>
      <c r="F421">
        <f>_xlfn.XLOOKUP(Orders4[[#This Row],[Order ID]],Details!$A:$A, Details!$B:$B)</f>
        <v>319</v>
      </c>
      <c r="G421">
        <f>_xlfn.XLOOKUP(Orders4[[#This Row],[Order ID]],Details!$A:$A,Details!C:C)</f>
        <v>102</v>
      </c>
      <c r="H421">
        <f>_xlfn.XLOOKUP(Orders4[[#This Row],[Order ID]],Details!$A:$A,Details!$D:$D)</f>
        <v>6</v>
      </c>
      <c r="I421" t="str">
        <f>_xlfn.XLOOKUP(Orders4[[#This Row],[Order ID]],Details!A:A,Details!$E:$E)</f>
        <v>Electronics</v>
      </c>
      <c r="J421" t="str">
        <f>_xlfn.XLOOKUP(Orders4[[#This Row],[Order ID]],Details!$A:$A,Details!$F:$F)</f>
        <v>Accessories</v>
      </c>
      <c r="K421" t="str">
        <f>_xlfn.XLOOKUP(Orders4[[#This Row],[Order ID]],Details!$A:$A,Details!$G:$G)</f>
        <v>Credit Card</v>
      </c>
      <c r="L421">
        <f>Orders4[[#This Row],[Amount]]/Orders4[[#This Row],[Quantity]]</f>
        <v>53.166666666666664</v>
      </c>
    </row>
    <row r="422" spans="1:12" x14ac:dyDescent="0.25">
      <c r="A422" t="s">
        <v>153</v>
      </c>
      <c r="B422" s="1">
        <v>43148</v>
      </c>
      <c r="C422" t="s">
        <v>796</v>
      </c>
      <c r="D422" t="s">
        <v>580</v>
      </c>
      <c r="E422" t="s">
        <v>581</v>
      </c>
      <c r="F422">
        <f>_xlfn.XLOOKUP(Orders4[[#This Row],[Order ID]],Details!$A:$A, Details!$B:$B)</f>
        <v>21</v>
      </c>
      <c r="G422">
        <f>_xlfn.XLOOKUP(Orders4[[#This Row],[Order ID]],Details!$A:$A,Details!C:C)</f>
        <v>-12</v>
      </c>
      <c r="H422">
        <f>_xlfn.XLOOKUP(Orders4[[#This Row],[Order ID]],Details!$A:$A,Details!$D:$D)</f>
        <v>3</v>
      </c>
      <c r="I422" t="str">
        <f>_xlfn.XLOOKUP(Orders4[[#This Row],[Order ID]],Details!A:A,Details!$E:$E)</f>
        <v>Clothing</v>
      </c>
      <c r="J422" t="str">
        <f>_xlfn.XLOOKUP(Orders4[[#This Row],[Order ID]],Details!$A:$A,Details!$F:$F)</f>
        <v>Hankerchief</v>
      </c>
      <c r="K422" t="str">
        <f>_xlfn.XLOOKUP(Orders4[[#This Row],[Order ID]],Details!$A:$A,Details!$G:$G)</f>
        <v>Debit Card</v>
      </c>
      <c r="L422">
        <f>Orders4[[#This Row],[Amount]]/Orders4[[#This Row],[Quantity]]</f>
        <v>7</v>
      </c>
    </row>
    <row r="423" spans="1:12" x14ac:dyDescent="0.25">
      <c r="A423" t="s">
        <v>58</v>
      </c>
      <c r="B423" s="1">
        <v>43149</v>
      </c>
      <c r="C423" t="s">
        <v>574</v>
      </c>
      <c r="D423" t="s">
        <v>575</v>
      </c>
      <c r="E423" t="s">
        <v>576</v>
      </c>
      <c r="F423">
        <f>_xlfn.XLOOKUP(Orders4[[#This Row],[Order ID]],Details!$A:$A, Details!$B:$B)</f>
        <v>1824</v>
      </c>
      <c r="G423">
        <f>_xlfn.XLOOKUP(Orders4[[#This Row],[Order ID]],Details!$A:$A,Details!C:C)</f>
        <v>1303</v>
      </c>
      <c r="H423">
        <f>_xlfn.XLOOKUP(Orders4[[#This Row],[Order ID]],Details!$A:$A,Details!$D:$D)</f>
        <v>8</v>
      </c>
      <c r="I423" t="str">
        <f>_xlfn.XLOOKUP(Orders4[[#This Row],[Order ID]],Details!A:A,Details!$E:$E)</f>
        <v>Electronics</v>
      </c>
      <c r="J423" t="str">
        <f>_xlfn.XLOOKUP(Orders4[[#This Row],[Order ID]],Details!$A:$A,Details!$F:$F)</f>
        <v>Phones</v>
      </c>
      <c r="K423" t="str">
        <f>_xlfn.XLOOKUP(Orders4[[#This Row],[Order ID]],Details!$A:$A,Details!$G:$G)</f>
        <v>Credit Card</v>
      </c>
      <c r="L423">
        <f>Orders4[[#This Row],[Amount]]/Orders4[[#This Row],[Quantity]]</f>
        <v>228</v>
      </c>
    </row>
    <row r="424" spans="1:12" x14ac:dyDescent="0.25">
      <c r="A424" t="s">
        <v>285</v>
      </c>
      <c r="B424" s="1">
        <v>43150</v>
      </c>
      <c r="C424" t="s">
        <v>648</v>
      </c>
      <c r="D424" t="s">
        <v>593</v>
      </c>
      <c r="E424" t="s">
        <v>576</v>
      </c>
      <c r="F424">
        <f>_xlfn.XLOOKUP(Orders4[[#This Row],[Order ID]],Details!$A:$A, Details!$B:$B)</f>
        <v>66</v>
      </c>
      <c r="G424">
        <f>_xlfn.XLOOKUP(Orders4[[#This Row],[Order ID]],Details!$A:$A,Details!C:C)</f>
        <v>22</v>
      </c>
      <c r="H424">
        <f>_xlfn.XLOOKUP(Orders4[[#This Row],[Order ID]],Details!$A:$A,Details!$D:$D)</f>
        <v>3</v>
      </c>
      <c r="I424" t="str">
        <f>_xlfn.XLOOKUP(Orders4[[#This Row],[Order ID]],Details!A:A,Details!$E:$E)</f>
        <v>Clothing</v>
      </c>
      <c r="J424" t="str">
        <f>_xlfn.XLOOKUP(Orders4[[#This Row],[Order ID]],Details!$A:$A,Details!$F:$F)</f>
        <v>Stole</v>
      </c>
      <c r="K424" t="str">
        <f>_xlfn.XLOOKUP(Orders4[[#This Row],[Order ID]],Details!$A:$A,Details!$G:$G)</f>
        <v>UPI</v>
      </c>
      <c r="L424">
        <f>Orders4[[#This Row],[Amount]]/Orders4[[#This Row],[Quantity]]</f>
        <v>22</v>
      </c>
    </row>
    <row r="425" spans="1:12" x14ac:dyDescent="0.25">
      <c r="A425" t="s">
        <v>428</v>
      </c>
      <c r="B425" s="1">
        <v>43150</v>
      </c>
      <c r="C425" t="s">
        <v>735</v>
      </c>
      <c r="D425" t="s">
        <v>571</v>
      </c>
      <c r="E425" t="s">
        <v>572</v>
      </c>
      <c r="F425">
        <f>_xlfn.XLOOKUP(Orders4[[#This Row],[Order ID]],Details!$A:$A, Details!$B:$B)</f>
        <v>168</v>
      </c>
      <c r="G425">
        <f>_xlfn.XLOOKUP(Orders4[[#This Row],[Order ID]],Details!$A:$A,Details!C:C)</f>
        <v>18</v>
      </c>
      <c r="H425">
        <f>_xlfn.XLOOKUP(Orders4[[#This Row],[Order ID]],Details!$A:$A,Details!$D:$D)</f>
        <v>6</v>
      </c>
      <c r="I425" t="str">
        <f>_xlfn.XLOOKUP(Orders4[[#This Row],[Order ID]],Details!A:A,Details!$E:$E)</f>
        <v>Clothing</v>
      </c>
      <c r="J425" t="str">
        <f>_xlfn.XLOOKUP(Orders4[[#This Row],[Order ID]],Details!$A:$A,Details!$F:$F)</f>
        <v>Stole</v>
      </c>
      <c r="K425" t="str">
        <f>_xlfn.XLOOKUP(Orders4[[#This Row],[Order ID]],Details!$A:$A,Details!$G:$G)</f>
        <v>Debit Card</v>
      </c>
      <c r="L425">
        <f>Orders4[[#This Row],[Amount]]/Orders4[[#This Row],[Quantity]]</f>
        <v>28</v>
      </c>
    </row>
    <row r="426" spans="1:12" x14ac:dyDescent="0.25">
      <c r="A426" t="s">
        <v>263</v>
      </c>
      <c r="B426" s="1">
        <v>43150</v>
      </c>
      <c r="C426" t="s">
        <v>820</v>
      </c>
      <c r="D426" t="s">
        <v>697</v>
      </c>
      <c r="E426" t="s">
        <v>698</v>
      </c>
      <c r="F426">
        <f>_xlfn.XLOOKUP(Orders4[[#This Row],[Order ID]],Details!$A:$A, Details!$B:$B)</f>
        <v>41</v>
      </c>
      <c r="G426">
        <f>_xlfn.XLOOKUP(Orders4[[#This Row],[Order ID]],Details!$A:$A,Details!C:C)</f>
        <v>19</v>
      </c>
      <c r="H426">
        <f>_xlfn.XLOOKUP(Orders4[[#This Row],[Order ID]],Details!$A:$A,Details!$D:$D)</f>
        <v>5</v>
      </c>
      <c r="I426" t="str">
        <f>_xlfn.XLOOKUP(Orders4[[#This Row],[Order ID]],Details!A:A,Details!$E:$E)</f>
        <v>Clothing</v>
      </c>
      <c r="J426" t="str">
        <f>_xlfn.XLOOKUP(Orders4[[#This Row],[Order ID]],Details!$A:$A,Details!$F:$F)</f>
        <v>Hankerchief</v>
      </c>
      <c r="K426" t="str">
        <f>_xlfn.XLOOKUP(Orders4[[#This Row],[Order ID]],Details!$A:$A,Details!$G:$G)</f>
        <v>Debit Card</v>
      </c>
      <c r="L426">
        <f>Orders4[[#This Row],[Amount]]/Orders4[[#This Row],[Quantity]]</f>
        <v>8.1999999999999993</v>
      </c>
    </row>
    <row r="427" spans="1:12" x14ac:dyDescent="0.25">
      <c r="A427" t="s">
        <v>270</v>
      </c>
      <c r="B427" s="1">
        <v>43150</v>
      </c>
      <c r="C427" t="s">
        <v>787</v>
      </c>
      <c r="D427" t="s">
        <v>647</v>
      </c>
      <c r="E427" t="s">
        <v>647</v>
      </c>
      <c r="F427">
        <f>_xlfn.XLOOKUP(Orders4[[#This Row],[Order ID]],Details!$A:$A, Details!$B:$B)</f>
        <v>255</v>
      </c>
      <c r="G427">
        <f>_xlfn.XLOOKUP(Orders4[[#This Row],[Order ID]],Details!$A:$A,Details!C:C)</f>
        <v>76</v>
      </c>
      <c r="H427">
        <f>_xlfn.XLOOKUP(Orders4[[#This Row],[Order ID]],Details!$A:$A,Details!$D:$D)</f>
        <v>9</v>
      </c>
      <c r="I427" t="str">
        <f>_xlfn.XLOOKUP(Orders4[[#This Row],[Order ID]],Details!A:A,Details!$E:$E)</f>
        <v>Clothing</v>
      </c>
      <c r="J427" t="str">
        <f>_xlfn.XLOOKUP(Orders4[[#This Row],[Order ID]],Details!$A:$A,Details!$F:$F)</f>
        <v>Hankerchief</v>
      </c>
      <c r="K427" t="str">
        <f>_xlfn.XLOOKUP(Orders4[[#This Row],[Order ID]],Details!$A:$A,Details!$G:$G)</f>
        <v>COD</v>
      </c>
      <c r="L427">
        <f>Orders4[[#This Row],[Amount]]/Orders4[[#This Row],[Quantity]]</f>
        <v>28.333333333333332</v>
      </c>
    </row>
    <row r="428" spans="1:12" x14ac:dyDescent="0.25">
      <c r="A428" t="s">
        <v>452</v>
      </c>
      <c r="B428" s="1">
        <v>43151</v>
      </c>
      <c r="C428" t="s">
        <v>774</v>
      </c>
      <c r="D428" t="s">
        <v>584</v>
      </c>
      <c r="E428" t="s">
        <v>585</v>
      </c>
      <c r="F428">
        <f>_xlfn.XLOOKUP(Orders4[[#This Row],[Order ID]],Details!$A:$A, Details!$B:$B)</f>
        <v>54</v>
      </c>
      <c r="G428">
        <f>_xlfn.XLOOKUP(Orders4[[#This Row],[Order ID]],Details!$A:$A,Details!C:C)</f>
        <v>8</v>
      </c>
      <c r="H428">
        <f>_xlfn.XLOOKUP(Orders4[[#This Row],[Order ID]],Details!$A:$A,Details!$D:$D)</f>
        <v>4</v>
      </c>
      <c r="I428" t="str">
        <f>_xlfn.XLOOKUP(Orders4[[#This Row],[Order ID]],Details!A:A,Details!$E:$E)</f>
        <v>Clothing</v>
      </c>
      <c r="J428" t="str">
        <f>_xlfn.XLOOKUP(Orders4[[#This Row],[Order ID]],Details!$A:$A,Details!$F:$F)</f>
        <v>T-shirt</v>
      </c>
      <c r="K428" t="str">
        <f>_xlfn.XLOOKUP(Orders4[[#This Row],[Order ID]],Details!$A:$A,Details!$G:$G)</f>
        <v>COD</v>
      </c>
      <c r="L428">
        <f>Orders4[[#This Row],[Amount]]/Orders4[[#This Row],[Quantity]]</f>
        <v>13.5</v>
      </c>
    </row>
    <row r="429" spans="1:12" x14ac:dyDescent="0.25">
      <c r="A429" t="s">
        <v>204</v>
      </c>
      <c r="B429" s="1">
        <v>43151</v>
      </c>
      <c r="C429" t="s">
        <v>632</v>
      </c>
      <c r="D429" t="s">
        <v>554</v>
      </c>
      <c r="E429" t="s">
        <v>555</v>
      </c>
      <c r="F429">
        <f>_xlfn.XLOOKUP(Orders4[[#This Row],[Order ID]],Details!$A:$A, Details!$B:$B)</f>
        <v>1272</v>
      </c>
      <c r="G429">
        <f>_xlfn.XLOOKUP(Orders4[[#This Row],[Order ID]],Details!$A:$A,Details!C:C)</f>
        <v>547</v>
      </c>
      <c r="H429">
        <f>_xlfn.XLOOKUP(Orders4[[#This Row],[Order ID]],Details!$A:$A,Details!$D:$D)</f>
        <v>2</v>
      </c>
      <c r="I429" t="str">
        <f>_xlfn.XLOOKUP(Orders4[[#This Row],[Order ID]],Details!A:A,Details!$E:$E)</f>
        <v>Electronics</v>
      </c>
      <c r="J429" t="str">
        <f>_xlfn.XLOOKUP(Orders4[[#This Row],[Order ID]],Details!$A:$A,Details!$F:$F)</f>
        <v>Phones</v>
      </c>
      <c r="K429" t="str">
        <f>_xlfn.XLOOKUP(Orders4[[#This Row],[Order ID]],Details!$A:$A,Details!$G:$G)</f>
        <v>COD</v>
      </c>
      <c r="L429">
        <f>Orders4[[#This Row],[Amount]]/Orders4[[#This Row],[Quantity]]</f>
        <v>636</v>
      </c>
    </row>
    <row r="430" spans="1:12" x14ac:dyDescent="0.25">
      <c r="A430" t="s">
        <v>156</v>
      </c>
      <c r="B430" s="1">
        <v>43151</v>
      </c>
      <c r="C430" t="s">
        <v>761</v>
      </c>
      <c r="D430" t="s">
        <v>559</v>
      </c>
      <c r="E430" t="s">
        <v>566</v>
      </c>
      <c r="F430">
        <f>_xlfn.XLOOKUP(Orders4[[#This Row],[Order ID]],Details!$A:$A, Details!$B:$B)</f>
        <v>21</v>
      </c>
      <c r="G430">
        <f>_xlfn.XLOOKUP(Orders4[[#This Row],[Order ID]],Details!$A:$A,Details!C:C)</f>
        <v>10</v>
      </c>
      <c r="H430">
        <f>_xlfn.XLOOKUP(Orders4[[#This Row],[Order ID]],Details!$A:$A,Details!$D:$D)</f>
        <v>1</v>
      </c>
      <c r="I430" t="str">
        <f>_xlfn.XLOOKUP(Orders4[[#This Row],[Order ID]],Details!A:A,Details!$E:$E)</f>
        <v>Clothing</v>
      </c>
      <c r="J430" t="str">
        <f>_xlfn.XLOOKUP(Orders4[[#This Row],[Order ID]],Details!$A:$A,Details!$F:$F)</f>
        <v>T-shirt</v>
      </c>
      <c r="K430" t="str">
        <f>_xlfn.XLOOKUP(Orders4[[#This Row],[Order ID]],Details!$A:$A,Details!$G:$G)</f>
        <v>Debit Card</v>
      </c>
      <c r="L430">
        <f>Orders4[[#This Row],[Amount]]/Orders4[[#This Row],[Quantity]]</f>
        <v>21</v>
      </c>
    </row>
    <row r="431" spans="1:12" x14ac:dyDescent="0.25">
      <c r="A431" t="s">
        <v>254</v>
      </c>
      <c r="B431" s="1">
        <v>43152</v>
      </c>
      <c r="C431" t="s">
        <v>552</v>
      </c>
      <c r="D431" t="s">
        <v>543</v>
      </c>
      <c r="E431" t="s">
        <v>551</v>
      </c>
      <c r="F431">
        <f>_xlfn.XLOOKUP(Orders4[[#This Row],[Order ID]],Details!$A:$A, Details!$B:$B)</f>
        <v>291</v>
      </c>
      <c r="G431">
        <f>_xlfn.XLOOKUP(Orders4[[#This Row],[Order ID]],Details!$A:$A,Details!C:C)</f>
        <v>93</v>
      </c>
      <c r="H431">
        <f>_xlfn.XLOOKUP(Orders4[[#This Row],[Order ID]],Details!$A:$A,Details!$D:$D)</f>
        <v>2</v>
      </c>
      <c r="I431" t="str">
        <f>_xlfn.XLOOKUP(Orders4[[#This Row],[Order ID]],Details!A:A,Details!$E:$E)</f>
        <v>Electronics</v>
      </c>
      <c r="J431" t="str">
        <f>_xlfn.XLOOKUP(Orders4[[#This Row],[Order ID]],Details!$A:$A,Details!$F:$F)</f>
        <v>Printers</v>
      </c>
      <c r="K431" t="str">
        <f>_xlfn.XLOOKUP(Orders4[[#This Row],[Order ID]],Details!$A:$A,Details!$G:$G)</f>
        <v>COD</v>
      </c>
      <c r="L431">
        <f>Orders4[[#This Row],[Amount]]/Orders4[[#This Row],[Quantity]]</f>
        <v>145.5</v>
      </c>
    </row>
    <row r="432" spans="1:12" x14ac:dyDescent="0.25">
      <c r="A432" t="s">
        <v>316</v>
      </c>
      <c r="B432" s="1">
        <v>43153</v>
      </c>
      <c r="C432" t="s">
        <v>768</v>
      </c>
      <c r="D432" t="s">
        <v>546</v>
      </c>
      <c r="E432" t="s">
        <v>578</v>
      </c>
      <c r="F432">
        <f>_xlfn.XLOOKUP(Orders4[[#This Row],[Order ID]],Details!$A:$A, Details!$B:$B)</f>
        <v>67</v>
      </c>
      <c r="G432">
        <f>_xlfn.XLOOKUP(Orders4[[#This Row],[Order ID]],Details!$A:$A,Details!C:C)</f>
        <v>9</v>
      </c>
      <c r="H432">
        <f>_xlfn.XLOOKUP(Orders4[[#This Row],[Order ID]],Details!$A:$A,Details!$D:$D)</f>
        <v>4</v>
      </c>
      <c r="I432" t="str">
        <f>_xlfn.XLOOKUP(Orders4[[#This Row],[Order ID]],Details!A:A,Details!$E:$E)</f>
        <v>Clothing</v>
      </c>
      <c r="J432" t="str">
        <f>_xlfn.XLOOKUP(Orders4[[#This Row],[Order ID]],Details!$A:$A,Details!$F:$F)</f>
        <v>Leggings</v>
      </c>
      <c r="K432" t="str">
        <f>_xlfn.XLOOKUP(Orders4[[#This Row],[Order ID]],Details!$A:$A,Details!$G:$G)</f>
        <v>Debit Card</v>
      </c>
      <c r="L432">
        <f>Orders4[[#This Row],[Amount]]/Orders4[[#This Row],[Quantity]]</f>
        <v>16.75</v>
      </c>
    </row>
    <row r="433" spans="1:12" x14ac:dyDescent="0.25">
      <c r="A433" t="s">
        <v>283</v>
      </c>
      <c r="B433" s="1">
        <v>43153</v>
      </c>
      <c r="C433" t="s">
        <v>727</v>
      </c>
      <c r="D433" t="s">
        <v>595</v>
      </c>
      <c r="E433" t="s">
        <v>635</v>
      </c>
      <c r="F433">
        <f>_xlfn.XLOOKUP(Orders4[[#This Row],[Order ID]],Details!$A:$A, Details!$B:$B)</f>
        <v>47</v>
      </c>
      <c r="G433">
        <f>_xlfn.XLOOKUP(Orders4[[#This Row],[Order ID]],Details!$A:$A,Details!C:C)</f>
        <v>15</v>
      </c>
      <c r="H433">
        <f>_xlfn.XLOOKUP(Orders4[[#This Row],[Order ID]],Details!$A:$A,Details!$D:$D)</f>
        <v>5</v>
      </c>
      <c r="I433" t="str">
        <f>_xlfn.XLOOKUP(Orders4[[#This Row],[Order ID]],Details!A:A,Details!$E:$E)</f>
        <v>Clothing</v>
      </c>
      <c r="J433" t="str">
        <f>_xlfn.XLOOKUP(Orders4[[#This Row],[Order ID]],Details!$A:$A,Details!$F:$F)</f>
        <v>Saree</v>
      </c>
      <c r="K433" t="str">
        <f>_xlfn.XLOOKUP(Orders4[[#This Row],[Order ID]],Details!$A:$A,Details!$G:$G)</f>
        <v>Debit Card</v>
      </c>
      <c r="L433">
        <f>Orders4[[#This Row],[Amount]]/Orders4[[#This Row],[Quantity]]</f>
        <v>9.4</v>
      </c>
    </row>
    <row r="434" spans="1:12" x14ac:dyDescent="0.25">
      <c r="A434" t="s">
        <v>124</v>
      </c>
      <c r="B434" s="1">
        <v>43153</v>
      </c>
      <c r="C434" t="s">
        <v>680</v>
      </c>
      <c r="D434" t="s">
        <v>618</v>
      </c>
      <c r="E434" t="s">
        <v>619</v>
      </c>
      <c r="F434">
        <f>_xlfn.XLOOKUP(Orders4[[#This Row],[Order ID]],Details!$A:$A, Details!$B:$B)</f>
        <v>774</v>
      </c>
      <c r="G434">
        <f>_xlfn.XLOOKUP(Orders4[[#This Row],[Order ID]],Details!$A:$A,Details!C:C)</f>
        <v>170</v>
      </c>
      <c r="H434">
        <f>_xlfn.XLOOKUP(Orders4[[#This Row],[Order ID]],Details!$A:$A,Details!$D:$D)</f>
        <v>3</v>
      </c>
      <c r="I434" t="str">
        <f>_xlfn.XLOOKUP(Orders4[[#This Row],[Order ID]],Details!A:A,Details!$E:$E)</f>
        <v>Electronics</v>
      </c>
      <c r="J434" t="str">
        <f>_xlfn.XLOOKUP(Orders4[[#This Row],[Order ID]],Details!$A:$A,Details!$F:$F)</f>
        <v>Accessories</v>
      </c>
      <c r="K434" t="str">
        <f>_xlfn.XLOOKUP(Orders4[[#This Row],[Order ID]],Details!$A:$A,Details!$G:$G)</f>
        <v>COD</v>
      </c>
      <c r="L434">
        <f>Orders4[[#This Row],[Amount]]/Orders4[[#This Row],[Quantity]]</f>
        <v>258</v>
      </c>
    </row>
    <row r="435" spans="1:12" x14ac:dyDescent="0.25">
      <c r="A435" t="s">
        <v>492</v>
      </c>
      <c r="B435" s="1">
        <v>43154</v>
      </c>
      <c r="C435" t="s">
        <v>702</v>
      </c>
      <c r="D435" t="s">
        <v>598</v>
      </c>
      <c r="E435" t="s">
        <v>599</v>
      </c>
      <c r="F435">
        <f>_xlfn.XLOOKUP(Orders4[[#This Row],[Order ID]],Details!$A:$A, Details!$B:$B)</f>
        <v>425</v>
      </c>
      <c r="G435">
        <f>_xlfn.XLOOKUP(Orders4[[#This Row],[Order ID]],Details!$A:$A,Details!C:C)</f>
        <v>183</v>
      </c>
      <c r="H435">
        <f>_xlfn.XLOOKUP(Orders4[[#This Row],[Order ID]],Details!$A:$A,Details!$D:$D)</f>
        <v>5</v>
      </c>
      <c r="I435" t="str">
        <f>_xlfn.XLOOKUP(Orders4[[#This Row],[Order ID]],Details!A:A,Details!$E:$E)</f>
        <v>Electronics</v>
      </c>
      <c r="J435" t="str">
        <f>_xlfn.XLOOKUP(Orders4[[#This Row],[Order ID]],Details!$A:$A,Details!$F:$F)</f>
        <v>Accessories</v>
      </c>
      <c r="K435" t="str">
        <f>_xlfn.XLOOKUP(Orders4[[#This Row],[Order ID]],Details!$A:$A,Details!$G:$G)</f>
        <v>UPI</v>
      </c>
      <c r="L435">
        <f>Orders4[[#This Row],[Amount]]/Orders4[[#This Row],[Quantity]]</f>
        <v>85</v>
      </c>
    </row>
    <row r="436" spans="1:12" x14ac:dyDescent="0.25">
      <c r="A436" t="s">
        <v>231</v>
      </c>
      <c r="B436" s="1">
        <v>43154</v>
      </c>
      <c r="C436" t="s">
        <v>709</v>
      </c>
      <c r="D436" t="s">
        <v>627</v>
      </c>
      <c r="E436" t="s">
        <v>628</v>
      </c>
      <c r="F436">
        <f>_xlfn.XLOOKUP(Orders4[[#This Row],[Order ID]],Details!$A:$A, Details!$B:$B)</f>
        <v>520</v>
      </c>
      <c r="G436">
        <f>_xlfn.XLOOKUP(Orders4[[#This Row],[Order ID]],Details!$A:$A,Details!C:C)</f>
        <v>151</v>
      </c>
      <c r="H436">
        <f>_xlfn.XLOOKUP(Orders4[[#This Row],[Order ID]],Details!$A:$A,Details!$D:$D)</f>
        <v>3</v>
      </c>
      <c r="I436" t="str">
        <f>_xlfn.XLOOKUP(Orders4[[#This Row],[Order ID]],Details!A:A,Details!$E:$E)</f>
        <v>Electronics</v>
      </c>
      <c r="J436" t="str">
        <f>_xlfn.XLOOKUP(Orders4[[#This Row],[Order ID]],Details!$A:$A,Details!$F:$F)</f>
        <v>Phones</v>
      </c>
      <c r="K436" t="str">
        <f>_xlfn.XLOOKUP(Orders4[[#This Row],[Order ID]],Details!$A:$A,Details!$G:$G)</f>
        <v>Credit Card</v>
      </c>
      <c r="L436">
        <f>Orders4[[#This Row],[Amount]]/Orders4[[#This Row],[Quantity]]</f>
        <v>173.33333333333334</v>
      </c>
    </row>
    <row r="437" spans="1:12" x14ac:dyDescent="0.25">
      <c r="A437" t="s">
        <v>477</v>
      </c>
      <c r="B437" s="1">
        <v>43154</v>
      </c>
      <c r="C437" t="s">
        <v>561</v>
      </c>
      <c r="D437" t="s">
        <v>543</v>
      </c>
      <c r="E437" t="s">
        <v>544</v>
      </c>
      <c r="F437">
        <f>_xlfn.XLOOKUP(Orders4[[#This Row],[Order ID]],Details!$A:$A, Details!$B:$B)</f>
        <v>341</v>
      </c>
      <c r="G437">
        <f>_xlfn.XLOOKUP(Orders4[[#This Row],[Order ID]],Details!$A:$A,Details!C:C)</f>
        <v>44</v>
      </c>
      <c r="H437">
        <f>_xlfn.XLOOKUP(Orders4[[#This Row],[Order ID]],Details!$A:$A,Details!$D:$D)</f>
        <v>7</v>
      </c>
      <c r="I437" t="str">
        <f>_xlfn.XLOOKUP(Orders4[[#This Row],[Order ID]],Details!A:A,Details!$E:$E)</f>
        <v>Furniture</v>
      </c>
      <c r="J437" t="str">
        <f>_xlfn.XLOOKUP(Orders4[[#This Row],[Order ID]],Details!$A:$A,Details!$F:$F)</f>
        <v>Furnishings</v>
      </c>
      <c r="K437" t="str">
        <f>_xlfn.XLOOKUP(Orders4[[#This Row],[Order ID]],Details!$A:$A,Details!$G:$G)</f>
        <v>UPI</v>
      </c>
      <c r="L437">
        <f>Orders4[[#This Row],[Amount]]/Orders4[[#This Row],[Quantity]]</f>
        <v>48.714285714285715</v>
      </c>
    </row>
    <row r="438" spans="1:12" x14ac:dyDescent="0.25">
      <c r="A438" t="s">
        <v>362</v>
      </c>
      <c r="B438" s="1">
        <v>43154</v>
      </c>
      <c r="C438" t="s">
        <v>676</v>
      </c>
      <c r="D438" t="s">
        <v>546</v>
      </c>
      <c r="E438" t="s">
        <v>547</v>
      </c>
      <c r="F438">
        <f>_xlfn.XLOOKUP(Orders4[[#This Row],[Order ID]],Details!$A:$A, Details!$B:$B)</f>
        <v>171</v>
      </c>
      <c r="G438">
        <f>_xlfn.XLOOKUP(Orders4[[#This Row],[Order ID]],Details!$A:$A,Details!C:C)</f>
        <v>68</v>
      </c>
      <c r="H438">
        <f>_xlfn.XLOOKUP(Orders4[[#This Row],[Order ID]],Details!$A:$A,Details!$D:$D)</f>
        <v>7</v>
      </c>
      <c r="I438" t="str">
        <f>_xlfn.XLOOKUP(Orders4[[#This Row],[Order ID]],Details!A:A,Details!$E:$E)</f>
        <v>Clothing</v>
      </c>
      <c r="J438" t="str">
        <f>_xlfn.XLOOKUP(Orders4[[#This Row],[Order ID]],Details!$A:$A,Details!$F:$F)</f>
        <v>Stole</v>
      </c>
      <c r="K438" t="str">
        <f>_xlfn.XLOOKUP(Orders4[[#This Row],[Order ID]],Details!$A:$A,Details!$G:$G)</f>
        <v>EMI</v>
      </c>
      <c r="L438">
        <f>Orders4[[#This Row],[Amount]]/Orders4[[#This Row],[Quantity]]</f>
        <v>24.428571428571427</v>
      </c>
    </row>
    <row r="439" spans="1:12" x14ac:dyDescent="0.25">
      <c r="A439" t="s">
        <v>260</v>
      </c>
      <c r="B439" s="1">
        <v>43155</v>
      </c>
      <c r="C439" t="s">
        <v>573</v>
      </c>
      <c r="D439" t="s">
        <v>568</v>
      </c>
      <c r="E439" t="s">
        <v>569</v>
      </c>
      <c r="F439">
        <f>_xlfn.XLOOKUP(Orders4[[#This Row],[Order ID]],Details!$A:$A, Details!$B:$B)</f>
        <v>41</v>
      </c>
      <c r="G439">
        <f>_xlfn.XLOOKUP(Orders4[[#This Row],[Order ID]],Details!$A:$A,Details!C:C)</f>
        <v>19</v>
      </c>
      <c r="H439">
        <f>_xlfn.XLOOKUP(Orders4[[#This Row],[Order ID]],Details!$A:$A,Details!$D:$D)</f>
        <v>2</v>
      </c>
      <c r="I439" t="str">
        <f>_xlfn.XLOOKUP(Orders4[[#This Row],[Order ID]],Details!A:A,Details!$E:$E)</f>
        <v>Clothing</v>
      </c>
      <c r="J439" t="str">
        <f>_xlfn.XLOOKUP(Orders4[[#This Row],[Order ID]],Details!$A:$A,Details!$F:$F)</f>
        <v>T-shirt</v>
      </c>
      <c r="K439" t="str">
        <f>_xlfn.XLOOKUP(Orders4[[#This Row],[Order ID]],Details!$A:$A,Details!$G:$G)</f>
        <v>Debit Card</v>
      </c>
      <c r="L439">
        <f>Orders4[[#This Row],[Amount]]/Orders4[[#This Row],[Quantity]]</f>
        <v>20.5</v>
      </c>
    </row>
    <row r="440" spans="1:12" x14ac:dyDescent="0.25">
      <c r="A440" t="s">
        <v>338</v>
      </c>
      <c r="B440" s="1">
        <v>43156</v>
      </c>
      <c r="C440" t="s">
        <v>600</v>
      </c>
      <c r="D440" t="s">
        <v>580</v>
      </c>
      <c r="E440" t="s">
        <v>581</v>
      </c>
      <c r="F440">
        <f>_xlfn.XLOOKUP(Orders4[[#This Row],[Order ID]],Details!$A:$A, Details!$B:$B)</f>
        <v>83</v>
      </c>
      <c r="G440">
        <f>_xlfn.XLOOKUP(Orders4[[#This Row],[Order ID]],Details!$A:$A,Details!C:C)</f>
        <v>34</v>
      </c>
      <c r="H440">
        <f>_xlfn.XLOOKUP(Orders4[[#This Row],[Order ID]],Details!$A:$A,Details!$D:$D)</f>
        <v>5</v>
      </c>
      <c r="I440" t="str">
        <f>_xlfn.XLOOKUP(Orders4[[#This Row],[Order ID]],Details!A:A,Details!$E:$E)</f>
        <v>Clothing</v>
      </c>
      <c r="J440" t="str">
        <f>_xlfn.XLOOKUP(Orders4[[#This Row],[Order ID]],Details!$A:$A,Details!$F:$F)</f>
        <v>Shirt</v>
      </c>
      <c r="K440" t="str">
        <f>_xlfn.XLOOKUP(Orders4[[#This Row],[Order ID]],Details!$A:$A,Details!$G:$G)</f>
        <v>Debit Card</v>
      </c>
      <c r="L440">
        <f>Orders4[[#This Row],[Amount]]/Orders4[[#This Row],[Quantity]]</f>
        <v>16.600000000000001</v>
      </c>
    </row>
    <row r="441" spans="1:12" x14ac:dyDescent="0.25">
      <c r="A441" t="s">
        <v>361</v>
      </c>
      <c r="B441" s="1">
        <v>43157</v>
      </c>
      <c r="C441" t="s">
        <v>674</v>
      </c>
      <c r="D441" t="s">
        <v>575</v>
      </c>
      <c r="E441" t="s">
        <v>576</v>
      </c>
      <c r="F441">
        <f>_xlfn.XLOOKUP(Orders4[[#This Row],[Order ID]],Details!$A:$A, Details!$B:$B)</f>
        <v>38</v>
      </c>
      <c r="G441">
        <f>_xlfn.XLOOKUP(Orders4[[#This Row],[Order ID]],Details!$A:$A,Details!C:C)</f>
        <v>9</v>
      </c>
      <c r="H441">
        <f>_xlfn.XLOOKUP(Orders4[[#This Row],[Order ID]],Details!$A:$A,Details!$D:$D)</f>
        <v>2</v>
      </c>
      <c r="I441" t="str">
        <f>_xlfn.XLOOKUP(Orders4[[#This Row],[Order ID]],Details!A:A,Details!$E:$E)</f>
        <v>Clothing</v>
      </c>
      <c r="J441" t="str">
        <f>_xlfn.XLOOKUP(Orders4[[#This Row],[Order ID]],Details!$A:$A,Details!$F:$F)</f>
        <v>Stole</v>
      </c>
      <c r="K441" t="str">
        <f>_xlfn.XLOOKUP(Orders4[[#This Row],[Order ID]],Details!$A:$A,Details!$G:$G)</f>
        <v>COD</v>
      </c>
      <c r="L441">
        <f>Orders4[[#This Row],[Amount]]/Orders4[[#This Row],[Quantity]]</f>
        <v>19</v>
      </c>
    </row>
    <row r="442" spans="1:12" x14ac:dyDescent="0.25">
      <c r="A442" t="s">
        <v>318</v>
      </c>
      <c r="B442" s="1">
        <v>43158</v>
      </c>
      <c r="C442" t="s">
        <v>810</v>
      </c>
      <c r="D442" t="s">
        <v>593</v>
      </c>
      <c r="E442" t="s">
        <v>576</v>
      </c>
      <c r="F442">
        <f>_xlfn.XLOOKUP(Orders4[[#This Row],[Order ID]],Details!$A:$A, Details!$B:$B)</f>
        <v>176</v>
      </c>
      <c r="G442">
        <f>_xlfn.XLOOKUP(Orders4[[#This Row],[Order ID]],Details!$A:$A,Details!C:C)</f>
        <v>-28</v>
      </c>
      <c r="H442">
        <f>_xlfn.XLOOKUP(Orders4[[#This Row],[Order ID]],Details!$A:$A,Details!$D:$D)</f>
        <v>5</v>
      </c>
      <c r="I442" t="str">
        <f>_xlfn.XLOOKUP(Orders4[[#This Row],[Order ID]],Details!A:A,Details!$E:$E)</f>
        <v>Furniture</v>
      </c>
      <c r="J442" t="str">
        <f>_xlfn.XLOOKUP(Orders4[[#This Row],[Order ID]],Details!$A:$A,Details!$F:$F)</f>
        <v>Furnishings</v>
      </c>
      <c r="K442" t="str">
        <f>_xlfn.XLOOKUP(Orders4[[#This Row],[Order ID]],Details!$A:$A,Details!$G:$G)</f>
        <v>COD</v>
      </c>
      <c r="L442">
        <f>Orders4[[#This Row],[Amount]]/Orders4[[#This Row],[Quantity]]</f>
        <v>35.200000000000003</v>
      </c>
    </row>
    <row r="443" spans="1:12" x14ac:dyDescent="0.25">
      <c r="A443" t="s">
        <v>331</v>
      </c>
      <c r="B443" s="1">
        <v>43159</v>
      </c>
      <c r="C443" t="s">
        <v>895</v>
      </c>
      <c r="D443" t="s">
        <v>571</v>
      </c>
      <c r="E443" t="s">
        <v>572</v>
      </c>
      <c r="F443">
        <f>_xlfn.XLOOKUP(Orders4[[#This Row],[Order ID]],Details!$A:$A, Details!$B:$B)</f>
        <v>36</v>
      </c>
      <c r="G443">
        <f>_xlfn.XLOOKUP(Orders4[[#This Row],[Order ID]],Details!$A:$A,Details!C:C)</f>
        <v>15</v>
      </c>
      <c r="H443">
        <f>_xlfn.XLOOKUP(Orders4[[#This Row],[Order ID]],Details!$A:$A,Details!$D:$D)</f>
        <v>3</v>
      </c>
      <c r="I443" t="str">
        <f>_xlfn.XLOOKUP(Orders4[[#This Row],[Order ID]],Details!A:A,Details!$E:$E)</f>
        <v>Clothing</v>
      </c>
      <c r="J443" t="str">
        <f>_xlfn.XLOOKUP(Orders4[[#This Row],[Order ID]],Details!$A:$A,Details!$F:$F)</f>
        <v>Stole</v>
      </c>
      <c r="K443" t="str">
        <f>_xlfn.XLOOKUP(Orders4[[#This Row],[Order ID]],Details!$A:$A,Details!$G:$G)</f>
        <v>UPI</v>
      </c>
      <c r="L443">
        <f>Orders4[[#This Row],[Amount]]/Orders4[[#This Row],[Quantity]]</f>
        <v>12</v>
      </c>
    </row>
    <row r="444" spans="1:12" x14ac:dyDescent="0.25">
      <c r="A444" t="s">
        <v>329</v>
      </c>
      <c r="B444" s="1">
        <v>43160</v>
      </c>
      <c r="C444" t="s">
        <v>696</v>
      </c>
      <c r="D444" t="s">
        <v>697</v>
      </c>
      <c r="E444" t="s">
        <v>698</v>
      </c>
      <c r="F444">
        <f>_xlfn.XLOOKUP(Orders4[[#This Row],[Order ID]],Details!$A:$A, Details!$B:$B)</f>
        <v>79</v>
      </c>
      <c r="G444">
        <f>_xlfn.XLOOKUP(Orders4[[#This Row],[Order ID]],Details!$A:$A,Details!C:C)</f>
        <v>5</v>
      </c>
      <c r="H444">
        <f>_xlfn.XLOOKUP(Orders4[[#This Row],[Order ID]],Details!$A:$A,Details!$D:$D)</f>
        <v>6</v>
      </c>
      <c r="I444" t="str">
        <f>_xlfn.XLOOKUP(Orders4[[#This Row],[Order ID]],Details!A:A,Details!$E:$E)</f>
        <v>Clothing</v>
      </c>
      <c r="J444" t="str">
        <f>_xlfn.XLOOKUP(Orders4[[#This Row],[Order ID]],Details!$A:$A,Details!$F:$F)</f>
        <v>Hankerchief</v>
      </c>
      <c r="K444" t="str">
        <f>_xlfn.XLOOKUP(Orders4[[#This Row],[Order ID]],Details!$A:$A,Details!$G:$G)</f>
        <v>Debit Card</v>
      </c>
      <c r="L444">
        <f>Orders4[[#This Row],[Amount]]/Orders4[[#This Row],[Quantity]]</f>
        <v>13.166666666666666</v>
      </c>
    </row>
    <row r="445" spans="1:12" x14ac:dyDescent="0.25">
      <c r="A445" t="s">
        <v>504</v>
      </c>
      <c r="B445" s="1">
        <v>43161</v>
      </c>
      <c r="C445" t="s">
        <v>753</v>
      </c>
      <c r="D445" t="s">
        <v>647</v>
      </c>
      <c r="E445" t="s">
        <v>647</v>
      </c>
      <c r="F445">
        <f>_xlfn.XLOOKUP(Orders4[[#This Row],[Order ID]],Details!$A:$A, Details!$B:$B)</f>
        <v>28</v>
      </c>
      <c r="G445">
        <f>_xlfn.XLOOKUP(Orders4[[#This Row],[Order ID]],Details!$A:$A,Details!C:C)</f>
        <v>-10</v>
      </c>
      <c r="H445">
        <f>_xlfn.XLOOKUP(Orders4[[#This Row],[Order ID]],Details!$A:$A,Details!$D:$D)</f>
        <v>3</v>
      </c>
      <c r="I445" t="str">
        <f>_xlfn.XLOOKUP(Orders4[[#This Row],[Order ID]],Details!A:A,Details!$E:$E)</f>
        <v>Clothing</v>
      </c>
      <c r="J445" t="str">
        <f>_xlfn.XLOOKUP(Orders4[[#This Row],[Order ID]],Details!$A:$A,Details!$F:$F)</f>
        <v>Skirt</v>
      </c>
      <c r="K445" t="str">
        <f>_xlfn.XLOOKUP(Orders4[[#This Row],[Order ID]],Details!$A:$A,Details!$G:$G)</f>
        <v>COD</v>
      </c>
      <c r="L445">
        <f>Orders4[[#This Row],[Amount]]/Orders4[[#This Row],[Quantity]]</f>
        <v>9.3333333333333339</v>
      </c>
    </row>
    <row r="446" spans="1:12" x14ac:dyDescent="0.25">
      <c r="A446" t="s">
        <v>275</v>
      </c>
      <c r="B446" s="1">
        <v>43162</v>
      </c>
      <c r="C446" t="s">
        <v>757</v>
      </c>
      <c r="D446" t="s">
        <v>584</v>
      </c>
      <c r="E446" t="s">
        <v>585</v>
      </c>
      <c r="F446">
        <f>_xlfn.XLOOKUP(Orders4[[#This Row],[Order ID]],Details!$A:$A, Details!$B:$B)</f>
        <v>376</v>
      </c>
      <c r="G446">
        <f>_xlfn.XLOOKUP(Orders4[[#This Row],[Order ID]],Details!$A:$A,Details!C:C)</f>
        <v>0</v>
      </c>
      <c r="H446">
        <f>_xlfn.XLOOKUP(Orders4[[#This Row],[Order ID]],Details!$A:$A,Details!$D:$D)</f>
        <v>7</v>
      </c>
      <c r="I446" t="str">
        <f>_xlfn.XLOOKUP(Orders4[[#This Row],[Order ID]],Details!A:A,Details!$E:$E)</f>
        <v>Clothing</v>
      </c>
      <c r="J446" t="str">
        <f>_xlfn.XLOOKUP(Orders4[[#This Row],[Order ID]],Details!$A:$A,Details!$F:$F)</f>
        <v>Stole</v>
      </c>
      <c r="K446" t="str">
        <f>_xlfn.XLOOKUP(Orders4[[#This Row],[Order ID]],Details!$A:$A,Details!$G:$G)</f>
        <v>Credit Card</v>
      </c>
      <c r="L446">
        <f>Orders4[[#This Row],[Amount]]/Orders4[[#This Row],[Quantity]]</f>
        <v>53.714285714285715</v>
      </c>
    </row>
    <row r="447" spans="1:12" x14ac:dyDescent="0.25">
      <c r="A447" t="s">
        <v>494</v>
      </c>
      <c r="B447" s="1">
        <v>43163</v>
      </c>
      <c r="C447" t="s">
        <v>707</v>
      </c>
      <c r="D447" t="s">
        <v>543</v>
      </c>
      <c r="E447" t="s">
        <v>544</v>
      </c>
      <c r="F447">
        <f>_xlfn.XLOOKUP(Orders4[[#This Row],[Order ID]],Details!$A:$A, Details!$B:$B)</f>
        <v>32</v>
      </c>
      <c r="G447">
        <f>_xlfn.XLOOKUP(Orders4[[#This Row],[Order ID]],Details!$A:$A,Details!C:C)</f>
        <v>3</v>
      </c>
      <c r="H447">
        <f>_xlfn.XLOOKUP(Orders4[[#This Row],[Order ID]],Details!$A:$A,Details!$D:$D)</f>
        <v>8</v>
      </c>
      <c r="I447" t="str">
        <f>_xlfn.XLOOKUP(Orders4[[#This Row],[Order ID]],Details!A:A,Details!$E:$E)</f>
        <v>Clothing</v>
      </c>
      <c r="J447" t="str">
        <f>_xlfn.XLOOKUP(Orders4[[#This Row],[Order ID]],Details!$A:$A,Details!$F:$F)</f>
        <v>Hankerchief</v>
      </c>
      <c r="K447" t="str">
        <f>_xlfn.XLOOKUP(Orders4[[#This Row],[Order ID]],Details!$A:$A,Details!$G:$G)</f>
        <v>COD</v>
      </c>
      <c r="L447">
        <f>Orders4[[#This Row],[Amount]]/Orders4[[#This Row],[Quantity]]</f>
        <v>4</v>
      </c>
    </row>
    <row r="448" spans="1:12" x14ac:dyDescent="0.25">
      <c r="A448" t="s">
        <v>447</v>
      </c>
      <c r="B448" s="1">
        <v>43163</v>
      </c>
      <c r="C448" t="s">
        <v>849</v>
      </c>
      <c r="D448" t="s">
        <v>546</v>
      </c>
      <c r="E448" t="s">
        <v>547</v>
      </c>
      <c r="F448">
        <f>_xlfn.XLOOKUP(Orders4[[#This Row],[Order ID]],Details!$A:$A, Details!$B:$B)</f>
        <v>55</v>
      </c>
      <c r="G448">
        <f>_xlfn.XLOOKUP(Orders4[[#This Row],[Order ID]],Details!$A:$A,Details!C:C)</f>
        <v>12</v>
      </c>
      <c r="H448">
        <f>_xlfn.XLOOKUP(Orders4[[#This Row],[Order ID]],Details!$A:$A,Details!$D:$D)</f>
        <v>5</v>
      </c>
      <c r="I448" t="str">
        <f>_xlfn.XLOOKUP(Orders4[[#This Row],[Order ID]],Details!A:A,Details!$E:$E)</f>
        <v>Clothing</v>
      </c>
      <c r="J448" t="str">
        <f>_xlfn.XLOOKUP(Orders4[[#This Row],[Order ID]],Details!$A:$A,Details!$F:$F)</f>
        <v>Skirt</v>
      </c>
      <c r="K448" t="str">
        <f>_xlfn.XLOOKUP(Orders4[[#This Row],[Order ID]],Details!$A:$A,Details!$G:$G)</f>
        <v>COD</v>
      </c>
      <c r="L448">
        <f>Orders4[[#This Row],[Amount]]/Orders4[[#This Row],[Quantity]]</f>
        <v>11</v>
      </c>
    </row>
    <row r="449" spans="1:12" x14ac:dyDescent="0.25">
      <c r="A449" t="s">
        <v>55</v>
      </c>
      <c r="B449" s="1">
        <v>43163</v>
      </c>
      <c r="C449" t="s">
        <v>608</v>
      </c>
      <c r="D449" t="s">
        <v>543</v>
      </c>
      <c r="E449" t="s">
        <v>551</v>
      </c>
      <c r="F449">
        <f>_xlfn.XLOOKUP(Orders4[[#This Row],[Order ID]],Details!$A:$A, Details!$B:$B)</f>
        <v>1461</v>
      </c>
      <c r="G449">
        <f>_xlfn.XLOOKUP(Orders4[[#This Row],[Order ID]],Details!$A:$A,Details!C:C)</f>
        <v>202</v>
      </c>
      <c r="H449">
        <f>_xlfn.XLOOKUP(Orders4[[#This Row],[Order ID]],Details!$A:$A,Details!$D:$D)</f>
        <v>5</v>
      </c>
      <c r="I449" t="str">
        <f>_xlfn.XLOOKUP(Orders4[[#This Row],[Order ID]],Details!A:A,Details!$E:$E)</f>
        <v>Furniture</v>
      </c>
      <c r="J449" t="str">
        <f>_xlfn.XLOOKUP(Orders4[[#This Row],[Order ID]],Details!$A:$A,Details!$F:$F)</f>
        <v>Tables</v>
      </c>
      <c r="K449" t="str">
        <f>_xlfn.XLOOKUP(Orders4[[#This Row],[Order ID]],Details!$A:$A,Details!$G:$G)</f>
        <v>EMI</v>
      </c>
      <c r="L449">
        <f>Orders4[[#This Row],[Amount]]/Orders4[[#This Row],[Quantity]]</f>
        <v>292.2</v>
      </c>
    </row>
    <row r="450" spans="1:12" x14ac:dyDescent="0.25">
      <c r="A450" t="s">
        <v>446</v>
      </c>
      <c r="B450" s="1">
        <v>43164</v>
      </c>
      <c r="C450" t="s">
        <v>587</v>
      </c>
      <c r="D450" t="s">
        <v>546</v>
      </c>
      <c r="E450" t="s">
        <v>578</v>
      </c>
      <c r="F450">
        <f>_xlfn.XLOOKUP(Orders4[[#This Row],[Order ID]],Details!$A:$A, Details!$B:$B)</f>
        <v>100</v>
      </c>
      <c r="G450">
        <f>_xlfn.XLOOKUP(Orders4[[#This Row],[Order ID]],Details!$A:$A,Details!C:C)</f>
        <v>28</v>
      </c>
      <c r="H450">
        <f>_xlfn.XLOOKUP(Orders4[[#This Row],[Order ID]],Details!$A:$A,Details!$D:$D)</f>
        <v>2</v>
      </c>
      <c r="I450" t="str">
        <f>_xlfn.XLOOKUP(Orders4[[#This Row],[Order ID]],Details!A:A,Details!$E:$E)</f>
        <v>Clothing</v>
      </c>
      <c r="J450" t="str">
        <f>_xlfn.XLOOKUP(Orders4[[#This Row],[Order ID]],Details!$A:$A,Details!$F:$F)</f>
        <v>Hankerchief</v>
      </c>
      <c r="K450" t="str">
        <f>_xlfn.XLOOKUP(Orders4[[#This Row],[Order ID]],Details!$A:$A,Details!$G:$G)</f>
        <v>UPI</v>
      </c>
      <c r="L450">
        <f>Orders4[[#This Row],[Amount]]/Orders4[[#This Row],[Quantity]]</f>
        <v>50</v>
      </c>
    </row>
    <row r="451" spans="1:12" x14ac:dyDescent="0.25">
      <c r="A451" t="s">
        <v>230</v>
      </c>
      <c r="B451" s="1">
        <v>43165</v>
      </c>
      <c r="C451" t="s">
        <v>737</v>
      </c>
      <c r="D451" t="s">
        <v>595</v>
      </c>
      <c r="E451" t="s">
        <v>635</v>
      </c>
      <c r="F451">
        <f>_xlfn.XLOOKUP(Orders4[[#This Row],[Order ID]],Details!$A:$A, Details!$B:$B)</f>
        <v>32</v>
      </c>
      <c r="G451">
        <f>_xlfn.XLOOKUP(Orders4[[#This Row],[Order ID]],Details!$A:$A,Details!C:C)</f>
        <v>6</v>
      </c>
      <c r="H451">
        <f>_xlfn.XLOOKUP(Orders4[[#This Row],[Order ID]],Details!$A:$A,Details!$D:$D)</f>
        <v>3</v>
      </c>
      <c r="I451" t="str">
        <f>_xlfn.XLOOKUP(Orders4[[#This Row],[Order ID]],Details!A:A,Details!$E:$E)</f>
        <v>Clothing</v>
      </c>
      <c r="J451" t="str">
        <f>_xlfn.XLOOKUP(Orders4[[#This Row],[Order ID]],Details!$A:$A,Details!$F:$F)</f>
        <v>Shirt</v>
      </c>
      <c r="K451" t="str">
        <f>_xlfn.XLOOKUP(Orders4[[#This Row],[Order ID]],Details!$A:$A,Details!$G:$G)</f>
        <v>UPI</v>
      </c>
      <c r="L451">
        <f>Orders4[[#This Row],[Amount]]/Orders4[[#This Row],[Quantity]]</f>
        <v>10.666666666666666</v>
      </c>
    </row>
    <row r="452" spans="1:12" x14ac:dyDescent="0.25">
      <c r="A452" t="s">
        <v>88</v>
      </c>
      <c r="B452" s="1">
        <v>43166</v>
      </c>
      <c r="C452" t="s">
        <v>617</v>
      </c>
      <c r="D452" t="s">
        <v>618</v>
      </c>
      <c r="E452" t="s">
        <v>619</v>
      </c>
      <c r="F452">
        <f>_xlfn.XLOOKUP(Orders4[[#This Row],[Order ID]],Details!$A:$A, Details!$B:$B)</f>
        <v>1337</v>
      </c>
      <c r="G452">
        <f>_xlfn.XLOOKUP(Orders4[[#This Row],[Order ID]],Details!$A:$A,Details!C:C)</f>
        <v>147</v>
      </c>
      <c r="H452">
        <f>_xlfn.XLOOKUP(Orders4[[#This Row],[Order ID]],Details!$A:$A,Details!$D:$D)</f>
        <v>7</v>
      </c>
      <c r="I452" t="str">
        <f>_xlfn.XLOOKUP(Orders4[[#This Row],[Order ID]],Details!A:A,Details!$E:$E)</f>
        <v>Electronics</v>
      </c>
      <c r="J452" t="str">
        <f>_xlfn.XLOOKUP(Orders4[[#This Row],[Order ID]],Details!$A:$A,Details!$F:$F)</f>
        <v>Printers</v>
      </c>
      <c r="K452" t="str">
        <f>_xlfn.XLOOKUP(Orders4[[#This Row],[Order ID]],Details!$A:$A,Details!$G:$G)</f>
        <v>Credit Card</v>
      </c>
      <c r="L452">
        <f>Orders4[[#This Row],[Amount]]/Orders4[[#This Row],[Quantity]]</f>
        <v>191</v>
      </c>
    </row>
    <row r="453" spans="1:12" x14ac:dyDescent="0.25">
      <c r="A453" t="s">
        <v>122</v>
      </c>
      <c r="B453" s="1">
        <v>43167</v>
      </c>
      <c r="C453" t="s">
        <v>681</v>
      </c>
      <c r="D453" t="s">
        <v>598</v>
      </c>
      <c r="E453" t="s">
        <v>599</v>
      </c>
      <c r="F453">
        <f>_xlfn.XLOOKUP(Orders4[[#This Row],[Order ID]],Details!$A:$A, Details!$B:$B)</f>
        <v>774</v>
      </c>
      <c r="G453">
        <f>_xlfn.XLOOKUP(Orders4[[#This Row],[Order ID]],Details!$A:$A,Details!C:C)</f>
        <v>170</v>
      </c>
      <c r="H453">
        <f>_xlfn.XLOOKUP(Orders4[[#This Row],[Order ID]],Details!$A:$A,Details!$D:$D)</f>
        <v>3</v>
      </c>
      <c r="I453" t="str">
        <f>_xlfn.XLOOKUP(Orders4[[#This Row],[Order ID]],Details!A:A,Details!$E:$E)</f>
        <v>Electronics</v>
      </c>
      <c r="J453" t="str">
        <f>_xlfn.XLOOKUP(Orders4[[#This Row],[Order ID]],Details!$A:$A,Details!$F:$F)</f>
        <v>Accessories</v>
      </c>
      <c r="K453" t="str">
        <f>_xlfn.XLOOKUP(Orders4[[#This Row],[Order ID]],Details!$A:$A,Details!$G:$G)</f>
        <v>COD</v>
      </c>
      <c r="L453">
        <f>Orders4[[#This Row],[Amount]]/Orders4[[#This Row],[Quantity]]</f>
        <v>258</v>
      </c>
    </row>
    <row r="454" spans="1:12" x14ac:dyDescent="0.25">
      <c r="A454" t="s">
        <v>167</v>
      </c>
      <c r="B454" s="1">
        <v>43168</v>
      </c>
      <c r="C454" t="s">
        <v>653</v>
      </c>
      <c r="D454" t="s">
        <v>627</v>
      </c>
      <c r="E454" t="s">
        <v>628</v>
      </c>
      <c r="F454">
        <f>_xlfn.XLOOKUP(Orders4[[#This Row],[Order ID]],Details!$A:$A, Details!$B:$B)</f>
        <v>594</v>
      </c>
      <c r="G454">
        <f>_xlfn.XLOOKUP(Orders4[[#This Row],[Order ID]],Details!$A:$A,Details!C:C)</f>
        <v>89</v>
      </c>
      <c r="H454">
        <f>_xlfn.XLOOKUP(Orders4[[#This Row],[Order ID]],Details!$A:$A,Details!$D:$D)</f>
        <v>3</v>
      </c>
      <c r="I454" t="str">
        <f>_xlfn.XLOOKUP(Orders4[[#This Row],[Order ID]],Details!A:A,Details!$E:$E)</f>
        <v>Furniture</v>
      </c>
      <c r="J454" t="str">
        <f>_xlfn.XLOOKUP(Orders4[[#This Row],[Order ID]],Details!$A:$A,Details!$F:$F)</f>
        <v>Bookcases</v>
      </c>
      <c r="K454" t="str">
        <f>_xlfn.XLOOKUP(Orders4[[#This Row],[Order ID]],Details!$A:$A,Details!$G:$G)</f>
        <v>COD</v>
      </c>
      <c r="L454">
        <f>Orders4[[#This Row],[Amount]]/Orders4[[#This Row],[Quantity]]</f>
        <v>198</v>
      </c>
    </row>
    <row r="455" spans="1:12" x14ac:dyDescent="0.25">
      <c r="A455" t="s">
        <v>273</v>
      </c>
      <c r="B455" s="1">
        <v>43169</v>
      </c>
      <c r="C455" t="s">
        <v>721</v>
      </c>
      <c r="D455" t="s">
        <v>543</v>
      </c>
      <c r="E455" t="s">
        <v>544</v>
      </c>
      <c r="F455">
        <f>_xlfn.XLOOKUP(Orders4[[#This Row],[Order ID]],Details!$A:$A, Details!$B:$B)</f>
        <v>246</v>
      </c>
      <c r="G455">
        <f>_xlfn.XLOOKUP(Orders4[[#This Row],[Order ID]],Details!$A:$A,Details!C:C)</f>
        <v>98</v>
      </c>
      <c r="H455">
        <f>_xlfn.XLOOKUP(Orders4[[#This Row],[Order ID]],Details!$A:$A,Details!$D:$D)</f>
        <v>5</v>
      </c>
      <c r="I455" t="str">
        <f>_xlfn.XLOOKUP(Orders4[[#This Row],[Order ID]],Details!A:A,Details!$E:$E)</f>
        <v>Clothing</v>
      </c>
      <c r="J455" t="str">
        <f>_xlfn.XLOOKUP(Orders4[[#This Row],[Order ID]],Details!$A:$A,Details!$F:$F)</f>
        <v>Hankerchief</v>
      </c>
      <c r="K455" t="str">
        <f>_xlfn.XLOOKUP(Orders4[[#This Row],[Order ID]],Details!$A:$A,Details!$G:$G)</f>
        <v>COD</v>
      </c>
      <c r="L455">
        <f>Orders4[[#This Row],[Amount]]/Orders4[[#This Row],[Quantity]]</f>
        <v>49.2</v>
      </c>
    </row>
    <row r="456" spans="1:12" x14ac:dyDescent="0.25">
      <c r="A456" t="s">
        <v>11</v>
      </c>
      <c r="B456" s="1">
        <v>43169</v>
      </c>
      <c r="C456" t="s">
        <v>536</v>
      </c>
      <c r="D456" t="s">
        <v>537</v>
      </c>
      <c r="E456" t="s">
        <v>538</v>
      </c>
      <c r="F456">
        <f>_xlfn.XLOOKUP(Orders4[[#This Row],[Order ID]],Details!$A:$A, Details!$B:$B)</f>
        <v>5729</v>
      </c>
      <c r="G456">
        <f>_xlfn.XLOOKUP(Orders4[[#This Row],[Order ID]],Details!$A:$A,Details!C:C)</f>
        <v>64</v>
      </c>
      <c r="H456">
        <f>_xlfn.XLOOKUP(Orders4[[#This Row],[Order ID]],Details!$A:$A,Details!$D:$D)</f>
        <v>14</v>
      </c>
      <c r="I456" t="str">
        <f>_xlfn.XLOOKUP(Orders4[[#This Row],[Order ID]],Details!A:A,Details!$E:$E)</f>
        <v>Furniture</v>
      </c>
      <c r="J456" t="str">
        <f>_xlfn.XLOOKUP(Orders4[[#This Row],[Order ID]],Details!$A:$A,Details!$F:$F)</f>
        <v>Chairs</v>
      </c>
      <c r="K456" t="str">
        <f>_xlfn.XLOOKUP(Orders4[[#This Row],[Order ID]],Details!$A:$A,Details!$G:$G)</f>
        <v>EMI</v>
      </c>
      <c r="L456">
        <f>Orders4[[#This Row],[Amount]]/Orders4[[#This Row],[Quantity]]</f>
        <v>409.21428571428572</v>
      </c>
    </row>
    <row r="457" spans="1:12" x14ac:dyDescent="0.25">
      <c r="A457" t="s">
        <v>211</v>
      </c>
      <c r="B457" s="1">
        <v>43169</v>
      </c>
      <c r="C457" t="s">
        <v>747</v>
      </c>
      <c r="D457" t="s">
        <v>568</v>
      </c>
      <c r="E457" t="s">
        <v>569</v>
      </c>
      <c r="F457">
        <f>_xlfn.XLOOKUP(Orders4[[#This Row],[Order ID]],Details!$A:$A, Details!$B:$B)</f>
        <v>424</v>
      </c>
      <c r="G457">
        <f>_xlfn.XLOOKUP(Orders4[[#This Row],[Order ID]],Details!$A:$A,Details!C:C)</f>
        <v>161</v>
      </c>
      <c r="H457">
        <f>_xlfn.XLOOKUP(Orders4[[#This Row],[Order ID]],Details!$A:$A,Details!$D:$D)</f>
        <v>2</v>
      </c>
      <c r="I457" t="str">
        <f>_xlfn.XLOOKUP(Orders4[[#This Row],[Order ID]],Details!A:A,Details!$E:$E)</f>
        <v>Clothing</v>
      </c>
      <c r="J457" t="str">
        <f>_xlfn.XLOOKUP(Orders4[[#This Row],[Order ID]],Details!$A:$A,Details!$F:$F)</f>
        <v>Saree</v>
      </c>
      <c r="K457" t="str">
        <f>_xlfn.XLOOKUP(Orders4[[#This Row],[Order ID]],Details!$A:$A,Details!$G:$G)</f>
        <v>COD</v>
      </c>
      <c r="L457">
        <f>Orders4[[#This Row],[Amount]]/Orders4[[#This Row],[Quantity]]</f>
        <v>212</v>
      </c>
    </row>
    <row r="458" spans="1:12" x14ac:dyDescent="0.25">
      <c r="A458" t="s">
        <v>207</v>
      </c>
      <c r="B458" s="1">
        <v>43169</v>
      </c>
      <c r="C458" t="s">
        <v>692</v>
      </c>
      <c r="D458" t="s">
        <v>580</v>
      </c>
      <c r="E458" t="s">
        <v>581</v>
      </c>
      <c r="F458">
        <f>_xlfn.XLOOKUP(Orders4[[#This Row],[Order ID]],Details!$A:$A, Details!$B:$B)</f>
        <v>659</v>
      </c>
      <c r="G458">
        <f>_xlfn.XLOOKUP(Orders4[[#This Row],[Order ID]],Details!$A:$A,Details!C:C)</f>
        <v>-37</v>
      </c>
      <c r="H458">
        <f>_xlfn.XLOOKUP(Orders4[[#This Row],[Order ID]],Details!$A:$A,Details!$D:$D)</f>
        <v>2</v>
      </c>
      <c r="I458" t="str">
        <f>_xlfn.XLOOKUP(Orders4[[#This Row],[Order ID]],Details!A:A,Details!$E:$E)</f>
        <v>Furniture</v>
      </c>
      <c r="J458" t="str">
        <f>_xlfn.XLOOKUP(Orders4[[#This Row],[Order ID]],Details!$A:$A,Details!$F:$F)</f>
        <v>Bookcases</v>
      </c>
      <c r="K458" t="str">
        <f>_xlfn.XLOOKUP(Orders4[[#This Row],[Order ID]],Details!$A:$A,Details!$G:$G)</f>
        <v>Credit Card</v>
      </c>
      <c r="L458">
        <f>Orders4[[#This Row],[Amount]]/Orders4[[#This Row],[Quantity]]</f>
        <v>329.5</v>
      </c>
    </row>
    <row r="459" spans="1:12" x14ac:dyDescent="0.25">
      <c r="A459" t="s">
        <v>503</v>
      </c>
      <c r="B459" s="1">
        <v>43170</v>
      </c>
      <c r="C459" t="s">
        <v>794</v>
      </c>
      <c r="D459" t="s">
        <v>575</v>
      </c>
      <c r="E459" t="s">
        <v>576</v>
      </c>
      <c r="F459">
        <f>_xlfn.XLOOKUP(Orders4[[#This Row],[Order ID]],Details!$A:$A, Details!$B:$B)</f>
        <v>212</v>
      </c>
      <c r="G459">
        <f>_xlfn.XLOOKUP(Orders4[[#This Row],[Order ID]],Details!$A:$A,Details!C:C)</f>
        <v>97</v>
      </c>
      <c r="H459">
        <f>_xlfn.XLOOKUP(Orders4[[#This Row],[Order ID]],Details!$A:$A,Details!$D:$D)</f>
        <v>7</v>
      </c>
      <c r="I459" t="str">
        <f>_xlfn.XLOOKUP(Orders4[[#This Row],[Order ID]],Details!A:A,Details!$E:$E)</f>
        <v>Clothing</v>
      </c>
      <c r="J459" t="str">
        <f>_xlfn.XLOOKUP(Orders4[[#This Row],[Order ID]],Details!$A:$A,Details!$F:$F)</f>
        <v>Hankerchief</v>
      </c>
      <c r="K459" t="str">
        <f>_xlfn.XLOOKUP(Orders4[[#This Row],[Order ID]],Details!$A:$A,Details!$G:$G)</f>
        <v>COD</v>
      </c>
      <c r="L459">
        <f>Orders4[[#This Row],[Amount]]/Orders4[[#This Row],[Quantity]]</f>
        <v>30.285714285714285</v>
      </c>
    </row>
    <row r="460" spans="1:12" x14ac:dyDescent="0.25">
      <c r="A460" t="s">
        <v>517</v>
      </c>
      <c r="B460" s="1">
        <v>43171</v>
      </c>
      <c r="C460" t="s">
        <v>903</v>
      </c>
      <c r="D460" t="s">
        <v>593</v>
      </c>
      <c r="E460" t="s">
        <v>576</v>
      </c>
      <c r="F460">
        <f>_xlfn.XLOOKUP(Orders4[[#This Row],[Order ID]],Details!$A:$A, Details!$B:$B)</f>
        <v>20</v>
      </c>
      <c r="G460">
        <f>_xlfn.XLOOKUP(Orders4[[#This Row],[Order ID]],Details!$A:$A,Details!C:C)</f>
        <v>6</v>
      </c>
      <c r="H460">
        <f>_xlfn.XLOOKUP(Orders4[[#This Row],[Order ID]],Details!$A:$A,Details!$D:$D)</f>
        <v>1</v>
      </c>
      <c r="I460" t="str">
        <f>_xlfn.XLOOKUP(Orders4[[#This Row],[Order ID]],Details!A:A,Details!$E:$E)</f>
        <v>Clothing</v>
      </c>
      <c r="J460" t="str">
        <f>_xlfn.XLOOKUP(Orders4[[#This Row],[Order ID]],Details!$A:$A,Details!$F:$F)</f>
        <v>T-shirt</v>
      </c>
      <c r="K460" t="str">
        <f>_xlfn.XLOOKUP(Orders4[[#This Row],[Order ID]],Details!$A:$A,Details!$G:$G)</f>
        <v>COD</v>
      </c>
      <c r="L460">
        <f>Orders4[[#This Row],[Amount]]/Orders4[[#This Row],[Quantity]]</f>
        <v>20</v>
      </c>
    </row>
    <row r="461" spans="1:12" x14ac:dyDescent="0.25">
      <c r="A461" t="s">
        <v>233</v>
      </c>
      <c r="B461" s="1">
        <v>43172</v>
      </c>
      <c r="C461" t="s">
        <v>661</v>
      </c>
      <c r="D461" t="s">
        <v>543</v>
      </c>
      <c r="E461" t="s">
        <v>544</v>
      </c>
      <c r="F461">
        <f>_xlfn.XLOOKUP(Orders4[[#This Row],[Order ID]],Details!$A:$A, Details!$B:$B)</f>
        <v>382</v>
      </c>
      <c r="G461">
        <f>_xlfn.XLOOKUP(Orders4[[#This Row],[Order ID]],Details!$A:$A,Details!C:C)</f>
        <v>68</v>
      </c>
      <c r="H461">
        <f>_xlfn.XLOOKUP(Orders4[[#This Row],[Order ID]],Details!$A:$A,Details!$D:$D)</f>
        <v>3</v>
      </c>
      <c r="I461" t="str">
        <f>_xlfn.XLOOKUP(Orders4[[#This Row],[Order ID]],Details!A:A,Details!$E:$E)</f>
        <v>Clothing</v>
      </c>
      <c r="J461" t="str">
        <f>_xlfn.XLOOKUP(Orders4[[#This Row],[Order ID]],Details!$A:$A,Details!$F:$F)</f>
        <v>Saree</v>
      </c>
      <c r="K461" t="str">
        <f>_xlfn.XLOOKUP(Orders4[[#This Row],[Order ID]],Details!$A:$A,Details!$G:$G)</f>
        <v>COD</v>
      </c>
      <c r="L461">
        <f>Orders4[[#This Row],[Amount]]/Orders4[[#This Row],[Quantity]]</f>
        <v>127.33333333333333</v>
      </c>
    </row>
    <row r="462" spans="1:12" x14ac:dyDescent="0.25">
      <c r="A462" t="s">
        <v>106</v>
      </c>
      <c r="B462" s="1">
        <v>43173</v>
      </c>
      <c r="C462" t="s">
        <v>657</v>
      </c>
      <c r="D462" t="s">
        <v>546</v>
      </c>
      <c r="E462" t="s">
        <v>547</v>
      </c>
      <c r="F462">
        <f>_xlfn.XLOOKUP(Orders4[[#This Row],[Order ID]],Details!$A:$A, Details!$B:$B)</f>
        <v>965</v>
      </c>
      <c r="G462">
        <f>_xlfn.XLOOKUP(Orders4[[#This Row],[Order ID]],Details!$A:$A,Details!C:C)</f>
        <v>-68</v>
      </c>
      <c r="H462">
        <f>_xlfn.XLOOKUP(Orders4[[#This Row],[Order ID]],Details!$A:$A,Details!$D:$D)</f>
        <v>3</v>
      </c>
      <c r="I462" t="str">
        <f>_xlfn.XLOOKUP(Orders4[[#This Row],[Order ID]],Details!A:A,Details!$E:$E)</f>
        <v>Electronics</v>
      </c>
      <c r="J462" t="str">
        <f>_xlfn.XLOOKUP(Orders4[[#This Row],[Order ID]],Details!$A:$A,Details!$F:$F)</f>
        <v>Printers</v>
      </c>
      <c r="K462" t="str">
        <f>_xlfn.XLOOKUP(Orders4[[#This Row],[Order ID]],Details!$A:$A,Details!$G:$G)</f>
        <v>COD</v>
      </c>
      <c r="L462">
        <f>Orders4[[#This Row],[Amount]]/Orders4[[#This Row],[Quantity]]</f>
        <v>321.66666666666669</v>
      </c>
    </row>
    <row r="463" spans="1:12" x14ac:dyDescent="0.25">
      <c r="A463" t="s">
        <v>137</v>
      </c>
      <c r="B463" s="1">
        <v>43174</v>
      </c>
      <c r="C463" t="s">
        <v>797</v>
      </c>
      <c r="D463" t="s">
        <v>647</v>
      </c>
      <c r="E463" t="s">
        <v>647</v>
      </c>
      <c r="F463">
        <f>_xlfn.XLOOKUP(Orders4[[#This Row],[Order ID]],Details!$A:$A, Details!$B:$B)</f>
        <v>44</v>
      </c>
      <c r="G463">
        <f>_xlfn.XLOOKUP(Orders4[[#This Row],[Order ID]],Details!$A:$A,Details!C:C)</f>
        <v>-40</v>
      </c>
      <c r="H463">
        <f>_xlfn.XLOOKUP(Orders4[[#This Row],[Order ID]],Details!$A:$A,Details!$D:$D)</f>
        <v>3</v>
      </c>
      <c r="I463" t="str">
        <f>_xlfn.XLOOKUP(Orders4[[#This Row],[Order ID]],Details!A:A,Details!$E:$E)</f>
        <v>Clothing</v>
      </c>
      <c r="J463" t="str">
        <f>_xlfn.XLOOKUP(Orders4[[#This Row],[Order ID]],Details!$A:$A,Details!$F:$F)</f>
        <v>Stole</v>
      </c>
      <c r="K463" t="str">
        <f>_xlfn.XLOOKUP(Orders4[[#This Row],[Order ID]],Details!$A:$A,Details!$G:$G)</f>
        <v>COD</v>
      </c>
      <c r="L463">
        <f>Orders4[[#This Row],[Amount]]/Orders4[[#This Row],[Quantity]]</f>
        <v>14.666666666666666</v>
      </c>
    </row>
    <row r="464" spans="1:12" x14ac:dyDescent="0.25">
      <c r="A464" t="s">
        <v>282</v>
      </c>
      <c r="B464" s="1">
        <v>43174</v>
      </c>
      <c r="C464" t="s">
        <v>620</v>
      </c>
      <c r="D464" t="s">
        <v>584</v>
      </c>
      <c r="E464" t="s">
        <v>585</v>
      </c>
      <c r="F464">
        <f>_xlfn.XLOOKUP(Orders4[[#This Row],[Order ID]],Details!$A:$A, Details!$B:$B)</f>
        <v>241</v>
      </c>
      <c r="G464">
        <f>_xlfn.XLOOKUP(Orders4[[#This Row],[Order ID]],Details!$A:$A,Details!C:C)</f>
        <v>-77</v>
      </c>
      <c r="H464">
        <f>_xlfn.XLOOKUP(Orders4[[#This Row],[Order ID]],Details!$A:$A,Details!$D:$D)</f>
        <v>4</v>
      </c>
      <c r="I464" t="str">
        <f>_xlfn.XLOOKUP(Orders4[[#This Row],[Order ID]],Details!A:A,Details!$E:$E)</f>
        <v>Electronics</v>
      </c>
      <c r="J464" t="str">
        <f>_xlfn.XLOOKUP(Orders4[[#This Row],[Order ID]],Details!$A:$A,Details!$F:$F)</f>
        <v>Electronic Games</v>
      </c>
      <c r="K464" t="str">
        <f>_xlfn.XLOOKUP(Orders4[[#This Row],[Order ID]],Details!$A:$A,Details!$G:$G)</f>
        <v>COD</v>
      </c>
      <c r="L464">
        <f>Orders4[[#This Row],[Amount]]/Orders4[[#This Row],[Quantity]]</f>
        <v>60.25</v>
      </c>
    </row>
    <row r="465" spans="1:12" x14ac:dyDescent="0.25">
      <c r="A465" t="s">
        <v>228</v>
      </c>
      <c r="B465" s="1">
        <v>43175</v>
      </c>
      <c r="C465" t="s">
        <v>844</v>
      </c>
      <c r="D465" t="s">
        <v>543</v>
      </c>
      <c r="E465" t="s">
        <v>544</v>
      </c>
      <c r="F465">
        <f>_xlfn.XLOOKUP(Orders4[[#This Row],[Order ID]],Details!$A:$A, Details!$B:$B)</f>
        <v>61</v>
      </c>
      <c r="G465">
        <f>_xlfn.XLOOKUP(Orders4[[#This Row],[Order ID]],Details!$A:$A,Details!C:C)</f>
        <v>3</v>
      </c>
      <c r="H465">
        <f>_xlfn.XLOOKUP(Orders4[[#This Row],[Order ID]],Details!$A:$A,Details!$D:$D)</f>
        <v>4</v>
      </c>
      <c r="I465" t="str">
        <f>_xlfn.XLOOKUP(Orders4[[#This Row],[Order ID]],Details!A:A,Details!$E:$E)</f>
        <v>Clothing</v>
      </c>
      <c r="J465" t="str">
        <f>_xlfn.XLOOKUP(Orders4[[#This Row],[Order ID]],Details!$A:$A,Details!$F:$F)</f>
        <v>Hankerchief</v>
      </c>
      <c r="K465" t="str">
        <f>_xlfn.XLOOKUP(Orders4[[#This Row],[Order ID]],Details!$A:$A,Details!$G:$G)</f>
        <v>COD</v>
      </c>
      <c r="L465">
        <f>Orders4[[#This Row],[Amount]]/Orders4[[#This Row],[Quantity]]</f>
        <v>15.25</v>
      </c>
    </row>
    <row r="466" spans="1:12" x14ac:dyDescent="0.25">
      <c r="A466" t="s">
        <v>348</v>
      </c>
      <c r="B466" s="1">
        <v>43175</v>
      </c>
      <c r="C466" t="s">
        <v>751</v>
      </c>
      <c r="D466" t="s">
        <v>546</v>
      </c>
      <c r="E466" t="s">
        <v>547</v>
      </c>
      <c r="F466">
        <f>_xlfn.XLOOKUP(Orders4[[#This Row],[Order ID]],Details!$A:$A, Details!$B:$B)</f>
        <v>146</v>
      </c>
      <c r="G466">
        <f>_xlfn.XLOOKUP(Orders4[[#This Row],[Order ID]],Details!$A:$A,Details!C:C)</f>
        <v>19</v>
      </c>
      <c r="H466">
        <f>_xlfn.XLOOKUP(Orders4[[#This Row],[Order ID]],Details!$A:$A,Details!$D:$D)</f>
        <v>5</v>
      </c>
      <c r="I466" t="str">
        <f>_xlfn.XLOOKUP(Orders4[[#This Row],[Order ID]],Details!A:A,Details!$E:$E)</f>
        <v>Clothing</v>
      </c>
      <c r="J466" t="str">
        <f>_xlfn.XLOOKUP(Orders4[[#This Row],[Order ID]],Details!$A:$A,Details!$F:$F)</f>
        <v>Stole</v>
      </c>
      <c r="K466" t="str">
        <f>_xlfn.XLOOKUP(Orders4[[#This Row],[Order ID]],Details!$A:$A,Details!$G:$G)</f>
        <v>COD</v>
      </c>
      <c r="L466">
        <f>Orders4[[#This Row],[Amount]]/Orders4[[#This Row],[Quantity]]</f>
        <v>29.2</v>
      </c>
    </row>
    <row r="467" spans="1:12" x14ac:dyDescent="0.25">
      <c r="A467" t="s">
        <v>342</v>
      </c>
      <c r="B467" s="1">
        <v>43175</v>
      </c>
      <c r="C467" t="s">
        <v>610</v>
      </c>
      <c r="D467" t="s">
        <v>543</v>
      </c>
      <c r="E467" t="s">
        <v>551</v>
      </c>
      <c r="F467">
        <f>_xlfn.XLOOKUP(Orders4[[#This Row],[Order ID]],Details!$A:$A, Details!$B:$B)</f>
        <v>86</v>
      </c>
      <c r="G467">
        <f>_xlfn.XLOOKUP(Orders4[[#This Row],[Order ID]],Details!$A:$A,Details!C:C)</f>
        <v>22</v>
      </c>
      <c r="H467">
        <f>_xlfn.XLOOKUP(Orders4[[#This Row],[Order ID]],Details!$A:$A,Details!$D:$D)</f>
        <v>2</v>
      </c>
      <c r="I467" t="str">
        <f>_xlfn.XLOOKUP(Orders4[[#This Row],[Order ID]],Details!A:A,Details!$E:$E)</f>
        <v>Clothing</v>
      </c>
      <c r="J467" t="str">
        <f>_xlfn.XLOOKUP(Orders4[[#This Row],[Order ID]],Details!$A:$A,Details!$F:$F)</f>
        <v>Saree</v>
      </c>
      <c r="K467" t="str">
        <f>_xlfn.XLOOKUP(Orders4[[#This Row],[Order ID]],Details!$A:$A,Details!$G:$G)</f>
        <v>Debit Card</v>
      </c>
      <c r="L467">
        <f>Orders4[[#This Row],[Amount]]/Orders4[[#This Row],[Quantity]]</f>
        <v>43</v>
      </c>
    </row>
    <row r="468" spans="1:12" x14ac:dyDescent="0.25">
      <c r="A468" t="s">
        <v>129</v>
      </c>
      <c r="B468" s="1">
        <v>43175</v>
      </c>
      <c r="C468" t="s">
        <v>644</v>
      </c>
      <c r="D468" t="s">
        <v>546</v>
      </c>
      <c r="E468" t="s">
        <v>578</v>
      </c>
      <c r="F468">
        <f>_xlfn.XLOOKUP(Orders4[[#This Row],[Order ID]],Details!$A:$A, Details!$B:$B)</f>
        <v>1137</v>
      </c>
      <c r="G468">
        <f>_xlfn.XLOOKUP(Orders4[[#This Row],[Order ID]],Details!$A:$A,Details!C:C)</f>
        <v>-14</v>
      </c>
      <c r="H468">
        <f>_xlfn.XLOOKUP(Orders4[[#This Row],[Order ID]],Details!$A:$A,Details!$D:$D)</f>
        <v>7</v>
      </c>
      <c r="I468" t="str">
        <f>_xlfn.XLOOKUP(Orders4[[#This Row],[Order ID]],Details!A:A,Details!$E:$E)</f>
        <v>Electronics</v>
      </c>
      <c r="J468" t="str">
        <f>_xlfn.XLOOKUP(Orders4[[#This Row],[Order ID]],Details!$A:$A,Details!$F:$F)</f>
        <v>Printers</v>
      </c>
      <c r="K468" t="str">
        <f>_xlfn.XLOOKUP(Orders4[[#This Row],[Order ID]],Details!$A:$A,Details!$G:$G)</f>
        <v>EMI</v>
      </c>
      <c r="L468">
        <f>Orders4[[#This Row],[Amount]]/Orders4[[#This Row],[Quantity]]</f>
        <v>162.42857142857142</v>
      </c>
    </row>
    <row r="469" spans="1:12" x14ac:dyDescent="0.25">
      <c r="A469" t="s">
        <v>453</v>
      </c>
      <c r="B469" s="1">
        <v>43175</v>
      </c>
      <c r="C469" t="s">
        <v>804</v>
      </c>
      <c r="D469" t="s">
        <v>595</v>
      </c>
      <c r="E469" t="s">
        <v>635</v>
      </c>
      <c r="F469">
        <f>_xlfn.XLOOKUP(Orders4[[#This Row],[Order ID]],Details!$A:$A, Details!$B:$B)</f>
        <v>193</v>
      </c>
      <c r="G469">
        <f>_xlfn.XLOOKUP(Orders4[[#This Row],[Order ID]],Details!$A:$A,Details!C:C)</f>
        <v>33</v>
      </c>
      <c r="H469">
        <f>_xlfn.XLOOKUP(Orders4[[#This Row],[Order ID]],Details!$A:$A,Details!$D:$D)</f>
        <v>5</v>
      </c>
      <c r="I469" t="str">
        <f>_xlfn.XLOOKUP(Orders4[[#This Row],[Order ID]],Details!A:A,Details!$E:$E)</f>
        <v>Electronics</v>
      </c>
      <c r="J469" t="str">
        <f>_xlfn.XLOOKUP(Orders4[[#This Row],[Order ID]],Details!$A:$A,Details!$F:$F)</f>
        <v>Accessories</v>
      </c>
      <c r="K469" t="str">
        <f>_xlfn.XLOOKUP(Orders4[[#This Row],[Order ID]],Details!$A:$A,Details!$G:$G)</f>
        <v>COD</v>
      </c>
      <c r="L469">
        <f>Orders4[[#This Row],[Amount]]/Orders4[[#This Row],[Quantity]]</f>
        <v>38.6</v>
      </c>
    </row>
    <row r="470" spans="1:12" x14ac:dyDescent="0.25">
      <c r="A470" t="s">
        <v>450</v>
      </c>
      <c r="B470" s="1">
        <v>43176</v>
      </c>
      <c r="C470" t="s">
        <v>827</v>
      </c>
      <c r="D470" t="s">
        <v>618</v>
      </c>
      <c r="E470" t="s">
        <v>619</v>
      </c>
      <c r="F470">
        <f>_xlfn.XLOOKUP(Orders4[[#This Row],[Order ID]],Details!$A:$A, Details!$B:$B)</f>
        <v>55</v>
      </c>
      <c r="G470">
        <f>_xlfn.XLOOKUP(Orders4[[#This Row],[Order ID]],Details!$A:$A,Details!C:C)</f>
        <v>18</v>
      </c>
      <c r="H470">
        <f>_xlfn.XLOOKUP(Orders4[[#This Row],[Order ID]],Details!$A:$A,Details!$D:$D)</f>
        <v>2</v>
      </c>
      <c r="I470" t="str">
        <f>_xlfn.XLOOKUP(Orders4[[#This Row],[Order ID]],Details!A:A,Details!$E:$E)</f>
        <v>Clothing</v>
      </c>
      <c r="J470" t="str">
        <f>_xlfn.XLOOKUP(Orders4[[#This Row],[Order ID]],Details!$A:$A,Details!$F:$F)</f>
        <v>Kurti</v>
      </c>
      <c r="K470" t="str">
        <f>_xlfn.XLOOKUP(Orders4[[#This Row],[Order ID]],Details!$A:$A,Details!$G:$G)</f>
        <v>COD</v>
      </c>
      <c r="L470">
        <f>Orders4[[#This Row],[Amount]]/Orders4[[#This Row],[Quantity]]</f>
        <v>27.5</v>
      </c>
    </row>
    <row r="471" spans="1:12" x14ac:dyDescent="0.25">
      <c r="A471" t="s">
        <v>169</v>
      </c>
      <c r="B471" s="1">
        <v>43177</v>
      </c>
      <c r="C471" t="s">
        <v>591</v>
      </c>
      <c r="D471" t="s">
        <v>598</v>
      </c>
      <c r="E471" t="s">
        <v>599</v>
      </c>
      <c r="F471">
        <f>_xlfn.XLOOKUP(Orders4[[#This Row],[Order ID]],Details!$A:$A, Details!$B:$B)</f>
        <v>582</v>
      </c>
      <c r="G471">
        <f>_xlfn.XLOOKUP(Orders4[[#This Row],[Order ID]],Details!$A:$A,Details!C:C)</f>
        <v>262</v>
      </c>
      <c r="H471">
        <f>_xlfn.XLOOKUP(Orders4[[#This Row],[Order ID]],Details!$A:$A,Details!$D:$D)</f>
        <v>5</v>
      </c>
      <c r="I471" t="str">
        <f>_xlfn.XLOOKUP(Orders4[[#This Row],[Order ID]],Details!A:A,Details!$E:$E)</f>
        <v>Furniture</v>
      </c>
      <c r="J471" t="str">
        <f>_xlfn.XLOOKUP(Orders4[[#This Row],[Order ID]],Details!$A:$A,Details!$F:$F)</f>
        <v>Furnishings</v>
      </c>
      <c r="K471" t="str">
        <f>_xlfn.XLOOKUP(Orders4[[#This Row],[Order ID]],Details!$A:$A,Details!$G:$G)</f>
        <v>COD</v>
      </c>
      <c r="L471">
        <f>Orders4[[#This Row],[Amount]]/Orders4[[#This Row],[Quantity]]</f>
        <v>116.4</v>
      </c>
    </row>
    <row r="472" spans="1:12" x14ac:dyDescent="0.25">
      <c r="A472" t="s">
        <v>520</v>
      </c>
      <c r="B472" s="1">
        <v>43178</v>
      </c>
      <c r="C472" t="s">
        <v>791</v>
      </c>
      <c r="D472" t="s">
        <v>627</v>
      </c>
      <c r="E472" t="s">
        <v>628</v>
      </c>
      <c r="F472">
        <f>_xlfn.XLOOKUP(Orders4[[#This Row],[Order ID]],Details!$A:$A, Details!$B:$B)</f>
        <v>21</v>
      </c>
      <c r="G472">
        <f>_xlfn.XLOOKUP(Orders4[[#This Row],[Order ID]],Details!$A:$A,Details!C:C)</f>
        <v>4</v>
      </c>
      <c r="H472">
        <f>_xlfn.XLOOKUP(Orders4[[#This Row],[Order ID]],Details!$A:$A,Details!$D:$D)</f>
        <v>3</v>
      </c>
      <c r="I472" t="str">
        <f>_xlfn.XLOOKUP(Orders4[[#This Row],[Order ID]],Details!A:A,Details!$E:$E)</f>
        <v>Clothing</v>
      </c>
      <c r="J472" t="str">
        <f>_xlfn.XLOOKUP(Orders4[[#This Row],[Order ID]],Details!$A:$A,Details!$F:$F)</f>
        <v>Hankerchief</v>
      </c>
      <c r="K472" t="str">
        <f>_xlfn.XLOOKUP(Orders4[[#This Row],[Order ID]],Details!$A:$A,Details!$G:$G)</f>
        <v>Credit Card</v>
      </c>
      <c r="L472">
        <f>Orders4[[#This Row],[Amount]]/Orders4[[#This Row],[Quantity]]</f>
        <v>7</v>
      </c>
    </row>
    <row r="473" spans="1:12" x14ac:dyDescent="0.25">
      <c r="A473" t="s">
        <v>463</v>
      </c>
      <c r="B473" s="1">
        <v>43179</v>
      </c>
      <c r="C473" t="s">
        <v>756</v>
      </c>
      <c r="D473" t="s">
        <v>543</v>
      </c>
      <c r="E473" t="s">
        <v>544</v>
      </c>
      <c r="F473">
        <f>_xlfn.XLOOKUP(Orders4[[#This Row],[Order ID]],Details!$A:$A, Details!$B:$B)</f>
        <v>313</v>
      </c>
      <c r="G473">
        <f>_xlfn.XLOOKUP(Orders4[[#This Row],[Order ID]],Details!$A:$A,Details!C:C)</f>
        <v>44</v>
      </c>
      <c r="H473">
        <f>_xlfn.XLOOKUP(Orders4[[#This Row],[Order ID]],Details!$A:$A,Details!$D:$D)</f>
        <v>3</v>
      </c>
      <c r="I473" t="str">
        <f>_xlfn.XLOOKUP(Orders4[[#This Row],[Order ID]],Details!A:A,Details!$E:$E)</f>
        <v>Electronics</v>
      </c>
      <c r="J473" t="str">
        <f>_xlfn.XLOOKUP(Orders4[[#This Row],[Order ID]],Details!$A:$A,Details!$F:$F)</f>
        <v>Electronic Games</v>
      </c>
      <c r="K473" t="str">
        <f>_xlfn.XLOOKUP(Orders4[[#This Row],[Order ID]],Details!$A:$A,Details!$G:$G)</f>
        <v>COD</v>
      </c>
      <c r="L473">
        <f>Orders4[[#This Row],[Amount]]/Orders4[[#This Row],[Quantity]]</f>
        <v>104.33333333333333</v>
      </c>
    </row>
    <row r="474" spans="1:12" x14ac:dyDescent="0.25">
      <c r="A474" t="s">
        <v>253</v>
      </c>
      <c r="B474" s="1">
        <v>43180</v>
      </c>
      <c r="C474" t="s">
        <v>604</v>
      </c>
      <c r="D474" t="s">
        <v>546</v>
      </c>
      <c r="E474" t="s">
        <v>547</v>
      </c>
      <c r="F474">
        <f>_xlfn.XLOOKUP(Orders4[[#This Row],[Order ID]],Details!$A:$A, Details!$B:$B)</f>
        <v>37</v>
      </c>
      <c r="G474">
        <f>_xlfn.XLOOKUP(Orders4[[#This Row],[Order ID]],Details!$A:$A,Details!C:C)</f>
        <v>17</v>
      </c>
      <c r="H474">
        <f>_xlfn.XLOOKUP(Orders4[[#This Row],[Order ID]],Details!$A:$A,Details!$D:$D)</f>
        <v>3</v>
      </c>
      <c r="I474" t="str">
        <f>_xlfn.XLOOKUP(Orders4[[#This Row],[Order ID]],Details!A:A,Details!$E:$E)</f>
        <v>Clothing</v>
      </c>
      <c r="J474" t="str">
        <f>_xlfn.XLOOKUP(Orders4[[#This Row],[Order ID]],Details!$A:$A,Details!$F:$F)</f>
        <v>Hankerchief</v>
      </c>
      <c r="K474" t="str">
        <f>_xlfn.XLOOKUP(Orders4[[#This Row],[Order ID]],Details!$A:$A,Details!$G:$G)</f>
        <v>Debit Card</v>
      </c>
      <c r="L474">
        <f>Orders4[[#This Row],[Amount]]/Orders4[[#This Row],[Quantity]]</f>
        <v>12.333333333333334</v>
      </c>
    </row>
    <row r="475" spans="1:12" x14ac:dyDescent="0.25">
      <c r="A475" t="s">
        <v>443</v>
      </c>
      <c r="B475" s="1">
        <v>43180</v>
      </c>
      <c r="C475" t="s">
        <v>630</v>
      </c>
      <c r="D475" t="s">
        <v>559</v>
      </c>
      <c r="E475" t="s">
        <v>566</v>
      </c>
      <c r="F475">
        <f>_xlfn.XLOOKUP(Orders4[[#This Row],[Order ID]],Details!$A:$A, Details!$B:$B)</f>
        <v>57</v>
      </c>
      <c r="G475">
        <f>_xlfn.XLOOKUP(Orders4[[#This Row],[Order ID]],Details!$A:$A,Details!C:C)</f>
        <v>21</v>
      </c>
      <c r="H475">
        <f>_xlfn.XLOOKUP(Orders4[[#This Row],[Order ID]],Details!$A:$A,Details!$D:$D)</f>
        <v>4</v>
      </c>
      <c r="I475" t="str">
        <f>_xlfn.XLOOKUP(Orders4[[#This Row],[Order ID]],Details!A:A,Details!$E:$E)</f>
        <v>Clothing</v>
      </c>
      <c r="J475" t="str">
        <f>_xlfn.XLOOKUP(Orders4[[#This Row],[Order ID]],Details!$A:$A,Details!$F:$F)</f>
        <v>Leggings</v>
      </c>
      <c r="K475" t="str">
        <f>_xlfn.XLOOKUP(Orders4[[#This Row],[Order ID]],Details!$A:$A,Details!$G:$G)</f>
        <v>COD</v>
      </c>
      <c r="L475">
        <f>Orders4[[#This Row],[Amount]]/Orders4[[#This Row],[Quantity]]</f>
        <v>14.25</v>
      </c>
    </row>
    <row r="476" spans="1:12" x14ac:dyDescent="0.25">
      <c r="A476" t="s">
        <v>488</v>
      </c>
      <c r="B476" s="1">
        <v>43180</v>
      </c>
      <c r="C476" t="s">
        <v>897</v>
      </c>
      <c r="D476" t="s">
        <v>543</v>
      </c>
      <c r="E476" t="s">
        <v>551</v>
      </c>
      <c r="F476">
        <f>_xlfn.XLOOKUP(Orders4[[#This Row],[Order ID]],Details!$A:$A, Details!$B:$B)</f>
        <v>34</v>
      </c>
      <c r="G476">
        <f>_xlfn.XLOOKUP(Orders4[[#This Row],[Order ID]],Details!$A:$A,Details!C:C)</f>
        <v>12</v>
      </c>
      <c r="H476">
        <f>_xlfn.XLOOKUP(Orders4[[#This Row],[Order ID]],Details!$A:$A,Details!$D:$D)</f>
        <v>2</v>
      </c>
      <c r="I476" t="str">
        <f>_xlfn.XLOOKUP(Orders4[[#This Row],[Order ID]],Details!A:A,Details!$E:$E)</f>
        <v>Clothing</v>
      </c>
      <c r="J476" t="str">
        <f>_xlfn.XLOOKUP(Orders4[[#This Row],[Order ID]],Details!$A:$A,Details!$F:$F)</f>
        <v>Stole</v>
      </c>
      <c r="K476" t="str">
        <f>_xlfn.XLOOKUP(Orders4[[#This Row],[Order ID]],Details!$A:$A,Details!$G:$G)</f>
        <v>COD</v>
      </c>
      <c r="L476">
        <f>Orders4[[#This Row],[Amount]]/Orders4[[#This Row],[Quantity]]</f>
        <v>17</v>
      </c>
    </row>
    <row r="477" spans="1:12" x14ac:dyDescent="0.25">
      <c r="A477" t="s">
        <v>294</v>
      </c>
      <c r="B477" s="1">
        <v>43180</v>
      </c>
      <c r="C477" t="s">
        <v>616</v>
      </c>
      <c r="D477" t="s">
        <v>546</v>
      </c>
      <c r="E477" t="s">
        <v>578</v>
      </c>
      <c r="F477">
        <f>_xlfn.XLOOKUP(Orders4[[#This Row],[Order ID]],Details!$A:$A, Details!$B:$B)</f>
        <v>219</v>
      </c>
      <c r="G477">
        <f>_xlfn.XLOOKUP(Orders4[[#This Row],[Order ID]],Details!$A:$A,Details!C:C)</f>
        <v>4</v>
      </c>
      <c r="H477">
        <f>_xlfn.XLOOKUP(Orders4[[#This Row],[Order ID]],Details!$A:$A,Details!$D:$D)</f>
        <v>2</v>
      </c>
      <c r="I477" t="str">
        <f>_xlfn.XLOOKUP(Orders4[[#This Row],[Order ID]],Details!A:A,Details!$E:$E)</f>
        <v>Clothing</v>
      </c>
      <c r="J477" t="str">
        <f>_xlfn.XLOOKUP(Orders4[[#This Row],[Order ID]],Details!$A:$A,Details!$F:$F)</f>
        <v>Saree</v>
      </c>
      <c r="K477" t="str">
        <f>_xlfn.XLOOKUP(Orders4[[#This Row],[Order ID]],Details!$A:$A,Details!$G:$G)</f>
        <v>COD</v>
      </c>
      <c r="L477">
        <f>Orders4[[#This Row],[Amount]]/Orders4[[#This Row],[Quantity]]</f>
        <v>109.5</v>
      </c>
    </row>
    <row r="478" spans="1:12" x14ac:dyDescent="0.25">
      <c r="A478" t="s">
        <v>479</v>
      </c>
      <c r="B478" s="1">
        <v>43181</v>
      </c>
      <c r="C478" t="s">
        <v>750</v>
      </c>
      <c r="D478" t="s">
        <v>595</v>
      </c>
      <c r="E478" t="s">
        <v>635</v>
      </c>
      <c r="F478">
        <f>_xlfn.XLOOKUP(Orders4[[#This Row],[Order ID]],Details!$A:$A, Details!$B:$B)</f>
        <v>62</v>
      </c>
      <c r="G478">
        <f>_xlfn.XLOOKUP(Orders4[[#This Row],[Order ID]],Details!$A:$A,Details!C:C)</f>
        <v>11</v>
      </c>
      <c r="H478">
        <f>_xlfn.XLOOKUP(Orders4[[#This Row],[Order ID]],Details!$A:$A,Details!$D:$D)</f>
        <v>7</v>
      </c>
      <c r="I478" t="str">
        <f>_xlfn.XLOOKUP(Orders4[[#This Row],[Order ID]],Details!A:A,Details!$E:$E)</f>
        <v>Clothing</v>
      </c>
      <c r="J478" t="str">
        <f>_xlfn.XLOOKUP(Orders4[[#This Row],[Order ID]],Details!$A:$A,Details!$F:$F)</f>
        <v>Hankerchief</v>
      </c>
      <c r="K478" t="str">
        <f>_xlfn.XLOOKUP(Orders4[[#This Row],[Order ID]],Details!$A:$A,Details!$G:$G)</f>
        <v>UPI</v>
      </c>
      <c r="L478">
        <f>Orders4[[#This Row],[Amount]]/Orders4[[#This Row],[Quantity]]</f>
        <v>8.8571428571428577</v>
      </c>
    </row>
    <row r="479" spans="1:12" x14ac:dyDescent="0.25">
      <c r="A479" t="s">
        <v>174</v>
      </c>
      <c r="B479" s="1">
        <v>43181</v>
      </c>
      <c r="C479" t="s">
        <v>722</v>
      </c>
      <c r="D479" t="s">
        <v>618</v>
      </c>
      <c r="E479" t="s">
        <v>619</v>
      </c>
      <c r="F479">
        <f>_xlfn.XLOOKUP(Orders4[[#This Row],[Order ID]],Details!$A:$A, Details!$B:$B)</f>
        <v>557</v>
      </c>
      <c r="G479">
        <f>_xlfn.XLOOKUP(Orders4[[#This Row],[Order ID]],Details!$A:$A,Details!C:C)</f>
        <v>-111</v>
      </c>
      <c r="H479">
        <f>_xlfn.XLOOKUP(Orders4[[#This Row],[Order ID]],Details!$A:$A,Details!$D:$D)</f>
        <v>2</v>
      </c>
      <c r="I479" t="str">
        <f>_xlfn.XLOOKUP(Orders4[[#This Row],[Order ID]],Details!A:A,Details!$E:$E)</f>
        <v>Electronics</v>
      </c>
      <c r="J479" t="str">
        <f>_xlfn.XLOOKUP(Orders4[[#This Row],[Order ID]],Details!$A:$A,Details!$F:$F)</f>
        <v>Electronic Games</v>
      </c>
      <c r="K479" t="str">
        <f>_xlfn.XLOOKUP(Orders4[[#This Row],[Order ID]],Details!$A:$A,Details!$G:$G)</f>
        <v>COD</v>
      </c>
      <c r="L479">
        <f>Orders4[[#This Row],[Amount]]/Orders4[[#This Row],[Quantity]]</f>
        <v>278.5</v>
      </c>
    </row>
    <row r="480" spans="1:12" x14ac:dyDescent="0.25">
      <c r="A480" t="s">
        <v>110</v>
      </c>
      <c r="B480" s="1">
        <v>43181</v>
      </c>
      <c r="C480" t="s">
        <v>746</v>
      </c>
      <c r="D480" t="s">
        <v>598</v>
      </c>
      <c r="E480" t="s">
        <v>599</v>
      </c>
      <c r="F480">
        <f>_xlfn.XLOOKUP(Orders4[[#This Row],[Order ID]],Details!$A:$A, Details!$B:$B)</f>
        <v>18</v>
      </c>
      <c r="G480">
        <f>_xlfn.XLOOKUP(Orders4[[#This Row],[Order ID]],Details!$A:$A,Details!C:C)</f>
        <v>3</v>
      </c>
      <c r="H480">
        <f>_xlfn.XLOOKUP(Orders4[[#This Row],[Order ID]],Details!$A:$A,Details!$D:$D)</f>
        <v>2</v>
      </c>
      <c r="I480" t="str">
        <f>_xlfn.XLOOKUP(Orders4[[#This Row],[Order ID]],Details!A:A,Details!$E:$E)</f>
        <v>Clothing</v>
      </c>
      <c r="J480" t="str">
        <f>_xlfn.XLOOKUP(Orders4[[#This Row],[Order ID]],Details!$A:$A,Details!$F:$F)</f>
        <v>Hankerchief</v>
      </c>
      <c r="K480" t="str">
        <f>_xlfn.XLOOKUP(Orders4[[#This Row],[Order ID]],Details!$A:$A,Details!$G:$G)</f>
        <v>Debit Card</v>
      </c>
      <c r="L480">
        <f>Orders4[[#This Row],[Amount]]/Orders4[[#This Row],[Quantity]]</f>
        <v>9</v>
      </c>
    </row>
    <row r="481" spans="1:12" x14ac:dyDescent="0.25">
      <c r="A481" t="s">
        <v>454</v>
      </c>
      <c r="B481" s="1">
        <v>43181</v>
      </c>
      <c r="C481" t="s">
        <v>851</v>
      </c>
      <c r="D481" t="s">
        <v>627</v>
      </c>
      <c r="E481" t="s">
        <v>628</v>
      </c>
      <c r="F481">
        <f>_xlfn.XLOOKUP(Orders4[[#This Row],[Order ID]],Details!$A:$A, Details!$B:$B)</f>
        <v>109</v>
      </c>
      <c r="G481">
        <f>_xlfn.XLOOKUP(Orders4[[#This Row],[Order ID]],Details!$A:$A,Details!C:C)</f>
        <v>35</v>
      </c>
      <c r="H481">
        <f>_xlfn.XLOOKUP(Orders4[[#This Row],[Order ID]],Details!$A:$A,Details!$D:$D)</f>
        <v>6</v>
      </c>
      <c r="I481" t="str">
        <f>_xlfn.XLOOKUP(Orders4[[#This Row],[Order ID]],Details!A:A,Details!$E:$E)</f>
        <v>Clothing</v>
      </c>
      <c r="J481" t="str">
        <f>_xlfn.XLOOKUP(Orders4[[#This Row],[Order ID]],Details!$A:$A,Details!$F:$F)</f>
        <v>T-shirt</v>
      </c>
      <c r="K481" t="str">
        <f>_xlfn.XLOOKUP(Orders4[[#This Row],[Order ID]],Details!$A:$A,Details!$G:$G)</f>
        <v>COD</v>
      </c>
      <c r="L481">
        <f>Orders4[[#This Row],[Amount]]/Orders4[[#This Row],[Quantity]]</f>
        <v>18.166666666666668</v>
      </c>
    </row>
    <row r="482" spans="1:12" x14ac:dyDescent="0.25">
      <c r="A482" t="s">
        <v>200</v>
      </c>
      <c r="B482" s="1">
        <v>43181</v>
      </c>
      <c r="C482" t="s">
        <v>611</v>
      </c>
      <c r="D482" t="s">
        <v>612</v>
      </c>
      <c r="E482" t="s">
        <v>613</v>
      </c>
      <c r="F482">
        <f>_xlfn.XLOOKUP(Orders4[[#This Row],[Order ID]],Details!$A:$A, Details!$B:$B)</f>
        <v>24</v>
      </c>
      <c r="G482">
        <f>_xlfn.XLOOKUP(Orders4[[#This Row],[Order ID]],Details!$A:$A,Details!C:C)</f>
        <v>11</v>
      </c>
      <c r="H482">
        <f>_xlfn.XLOOKUP(Orders4[[#This Row],[Order ID]],Details!$A:$A,Details!$D:$D)</f>
        <v>3</v>
      </c>
      <c r="I482" t="str">
        <f>_xlfn.XLOOKUP(Orders4[[#This Row],[Order ID]],Details!A:A,Details!$E:$E)</f>
        <v>Clothing</v>
      </c>
      <c r="J482" t="str">
        <f>_xlfn.XLOOKUP(Orders4[[#This Row],[Order ID]],Details!$A:$A,Details!$F:$F)</f>
        <v>Hankerchief</v>
      </c>
      <c r="K482" t="str">
        <f>_xlfn.XLOOKUP(Orders4[[#This Row],[Order ID]],Details!$A:$A,Details!$G:$G)</f>
        <v>Debit Card</v>
      </c>
      <c r="L482">
        <f>Orders4[[#This Row],[Amount]]/Orders4[[#This Row],[Quantity]]</f>
        <v>8</v>
      </c>
    </row>
    <row r="483" spans="1:12" x14ac:dyDescent="0.25">
      <c r="A483" t="s">
        <v>354</v>
      </c>
      <c r="B483" s="1">
        <v>43182</v>
      </c>
      <c r="C483" t="s">
        <v>678</v>
      </c>
      <c r="D483" t="s">
        <v>537</v>
      </c>
      <c r="E483" t="s">
        <v>607</v>
      </c>
      <c r="F483">
        <f>_xlfn.XLOOKUP(Orders4[[#This Row],[Order ID]],Details!$A:$A, Details!$B:$B)</f>
        <v>95</v>
      </c>
      <c r="G483">
        <f>_xlfn.XLOOKUP(Orders4[[#This Row],[Order ID]],Details!$A:$A,Details!C:C)</f>
        <v>5</v>
      </c>
      <c r="H483">
        <f>_xlfn.XLOOKUP(Orders4[[#This Row],[Order ID]],Details!$A:$A,Details!$D:$D)</f>
        <v>2</v>
      </c>
      <c r="I483" t="str">
        <f>_xlfn.XLOOKUP(Orders4[[#This Row],[Order ID]],Details!A:A,Details!$E:$E)</f>
        <v>Clothing</v>
      </c>
      <c r="J483" t="str">
        <f>_xlfn.XLOOKUP(Orders4[[#This Row],[Order ID]],Details!$A:$A,Details!$F:$F)</f>
        <v>Stole</v>
      </c>
      <c r="K483" t="str">
        <f>_xlfn.XLOOKUP(Orders4[[#This Row],[Order ID]],Details!$A:$A,Details!$G:$G)</f>
        <v>UPI</v>
      </c>
      <c r="L483">
        <f>Orders4[[#This Row],[Amount]]/Orders4[[#This Row],[Quantity]]</f>
        <v>47.5</v>
      </c>
    </row>
    <row r="484" spans="1:12" x14ac:dyDescent="0.25">
      <c r="A484" t="s">
        <v>297</v>
      </c>
      <c r="B484" s="1">
        <v>43183</v>
      </c>
      <c r="C484" t="s">
        <v>562</v>
      </c>
      <c r="D484" t="s">
        <v>568</v>
      </c>
      <c r="E484" t="s">
        <v>569</v>
      </c>
      <c r="F484">
        <f>_xlfn.XLOOKUP(Orders4[[#This Row],[Order ID]],Details!$A:$A, Details!$B:$B)</f>
        <v>43</v>
      </c>
      <c r="G484">
        <f>_xlfn.XLOOKUP(Orders4[[#This Row],[Order ID]],Details!$A:$A,Details!C:C)</f>
        <v>8</v>
      </c>
      <c r="H484">
        <f>_xlfn.XLOOKUP(Orders4[[#This Row],[Order ID]],Details!$A:$A,Details!$D:$D)</f>
        <v>3</v>
      </c>
      <c r="I484" t="str">
        <f>_xlfn.XLOOKUP(Orders4[[#This Row],[Order ID]],Details!A:A,Details!$E:$E)</f>
        <v>Clothing</v>
      </c>
      <c r="J484" t="str">
        <f>_xlfn.XLOOKUP(Orders4[[#This Row],[Order ID]],Details!$A:$A,Details!$F:$F)</f>
        <v>Leggings</v>
      </c>
      <c r="K484" t="str">
        <f>_xlfn.XLOOKUP(Orders4[[#This Row],[Order ID]],Details!$A:$A,Details!$G:$G)</f>
        <v>COD</v>
      </c>
      <c r="L484">
        <f>Orders4[[#This Row],[Amount]]/Orders4[[#This Row],[Quantity]]</f>
        <v>14.333333333333334</v>
      </c>
    </row>
    <row r="485" spans="1:12" x14ac:dyDescent="0.25">
      <c r="A485" t="s">
        <v>302</v>
      </c>
      <c r="B485" s="1">
        <v>43184</v>
      </c>
      <c r="C485" t="s">
        <v>796</v>
      </c>
      <c r="D485" t="s">
        <v>580</v>
      </c>
      <c r="E485" t="s">
        <v>581</v>
      </c>
      <c r="F485">
        <f>_xlfn.XLOOKUP(Orders4[[#This Row],[Order ID]],Details!$A:$A, Details!$B:$B)</f>
        <v>209</v>
      </c>
      <c r="G485">
        <f>_xlfn.XLOOKUP(Orders4[[#This Row],[Order ID]],Details!$A:$A,Details!C:C)</f>
        <v>-63</v>
      </c>
      <c r="H485">
        <f>_xlfn.XLOOKUP(Orders4[[#This Row],[Order ID]],Details!$A:$A,Details!$D:$D)</f>
        <v>4</v>
      </c>
      <c r="I485" t="str">
        <f>_xlfn.XLOOKUP(Orders4[[#This Row],[Order ID]],Details!A:A,Details!$E:$E)</f>
        <v>Electronics</v>
      </c>
      <c r="J485" t="str">
        <f>_xlfn.XLOOKUP(Orders4[[#This Row],[Order ID]],Details!$A:$A,Details!$F:$F)</f>
        <v>Electronic Games</v>
      </c>
      <c r="K485" t="str">
        <f>_xlfn.XLOOKUP(Orders4[[#This Row],[Order ID]],Details!$A:$A,Details!$G:$G)</f>
        <v>COD</v>
      </c>
      <c r="L485">
        <f>Orders4[[#This Row],[Amount]]/Orders4[[#This Row],[Quantity]]</f>
        <v>52.25</v>
      </c>
    </row>
    <row r="486" spans="1:12" x14ac:dyDescent="0.25">
      <c r="A486" t="s">
        <v>83</v>
      </c>
      <c r="B486" s="1">
        <v>43185</v>
      </c>
      <c r="C486" t="s">
        <v>574</v>
      </c>
      <c r="D486" t="s">
        <v>575</v>
      </c>
      <c r="E486" t="s">
        <v>576</v>
      </c>
      <c r="F486">
        <f>_xlfn.XLOOKUP(Orders4[[#This Row],[Order ID]],Details!$A:$A, Details!$B:$B)</f>
        <v>1487</v>
      </c>
      <c r="G486">
        <f>_xlfn.XLOOKUP(Orders4[[#This Row],[Order ID]],Details!$A:$A,Details!C:C)</f>
        <v>624</v>
      </c>
      <c r="H486">
        <f>_xlfn.XLOOKUP(Orders4[[#This Row],[Order ID]],Details!$A:$A,Details!$D:$D)</f>
        <v>3</v>
      </c>
      <c r="I486" t="str">
        <f>_xlfn.XLOOKUP(Orders4[[#This Row],[Order ID]],Details!A:A,Details!$E:$E)</f>
        <v>Clothing</v>
      </c>
      <c r="J486" t="str">
        <f>_xlfn.XLOOKUP(Orders4[[#This Row],[Order ID]],Details!$A:$A,Details!$F:$F)</f>
        <v>Trousers</v>
      </c>
      <c r="K486" t="str">
        <f>_xlfn.XLOOKUP(Orders4[[#This Row],[Order ID]],Details!$A:$A,Details!$G:$G)</f>
        <v>Credit Card</v>
      </c>
      <c r="L486">
        <f>Orders4[[#This Row],[Amount]]/Orders4[[#This Row],[Quantity]]</f>
        <v>495.66666666666669</v>
      </c>
    </row>
    <row r="487" spans="1:12" x14ac:dyDescent="0.25">
      <c r="A487" t="s">
        <v>126</v>
      </c>
      <c r="B487" s="1">
        <v>43185</v>
      </c>
      <c r="C487" t="s">
        <v>648</v>
      </c>
      <c r="D487" t="s">
        <v>593</v>
      </c>
      <c r="E487" t="s">
        <v>576</v>
      </c>
      <c r="F487">
        <f>_xlfn.XLOOKUP(Orders4[[#This Row],[Order ID]],Details!$A:$A, Details!$B:$B)</f>
        <v>762</v>
      </c>
      <c r="G487">
        <f>_xlfn.XLOOKUP(Orders4[[#This Row],[Order ID]],Details!$A:$A,Details!C:C)</f>
        <v>101</v>
      </c>
      <c r="H487">
        <f>_xlfn.XLOOKUP(Orders4[[#This Row],[Order ID]],Details!$A:$A,Details!$D:$D)</f>
        <v>6</v>
      </c>
      <c r="I487" t="str">
        <f>_xlfn.XLOOKUP(Orders4[[#This Row],[Order ID]],Details!A:A,Details!$E:$E)</f>
        <v>Electronics</v>
      </c>
      <c r="J487" t="str">
        <f>_xlfn.XLOOKUP(Orders4[[#This Row],[Order ID]],Details!$A:$A,Details!$F:$F)</f>
        <v>Printers</v>
      </c>
      <c r="K487" t="str">
        <f>_xlfn.XLOOKUP(Orders4[[#This Row],[Order ID]],Details!$A:$A,Details!$G:$G)</f>
        <v>COD</v>
      </c>
      <c r="L487">
        <f>Orders4[[#This Row],[Amount]]/Orders4[[#This Row],[Quantity]]</f>
        <v>127</v>
      </c>
    </row>
    <row r="488" spans="1:12" x14ac:dyDescent="0.25">
      <c r="A488" t="s">
        <v>194</v>
      </c>
      <c r="B488" s="1">
        <v>43185</v>
      </c>
      <c r="C488" t="s">
        <v>735</v>
      </c>
      <c r="D488" t="s">
        <v>571</v>
      </c>
      <c r="E488" t="s">
        <v>572</v>
      </c>
      <c r="F488">
        <f>_xlfn.XLOOKUP(Orders4[[#This Row],[Order ID]],Details!$A:$A, Details!$B:$B)</f>
        <v>180</v>
      </c>
      <c r="G488">
        <f>_xlfn.XLOOKUP(Orders4[[#This Row],[Order ID]],Details!$A:$A,Details!C:C)</f>
        <v>0</v>
      </c>
      <c r="H488">
        <f>_xlfn.XLOOKUP(Orders4[[#This Row],[Order ID]],Details!$A:$A,Details!$D:$D)</f>
        <v>8</v>
      </c>
      <c r="I488" t="str">
        <f>_xlfn.XLOOKUP(Orders4[[#This Row],[Order ID]],Details!A:A,Details!$E:$E)</f>
        <v>Clothing</v>
      </c>
      <c r="J488" t="str">
        <f>_xlfn.XLOOKUP(Orders4[[#This Row],[Order ID]],Details!$A:$A,Details!$F:$F)</f>
        <v>Stole</v>
      </c>
      <c r="K488" t="str">
        <f>_xlfn.XLOOKUP(Orders4[[#This Row],[Order ID]],Details!$A:$A,Details!$G:$G)</f>
        <v>COD</v>
      </c>
      <c r="L488">
        <f>Orders4[[#This Row],[Amount]]/Orders4[[#This Row],[Quantity]]</f>
        <v>22.5</v>
      </c>
    </row>
    <row r="489" spans="1:12" x14ac:dyDescent="0.25">
      <c r="A489" t="s">
        <v>245</v>
      </c>
      <c r="B489" s="1">
        <v>43185</v>
      </c>
      <c r="C489" t="s">
        <v>820</v>
      </c>
      <c r="D489" t="s">
        <v>697</v>
      </c>
      <c r="E489" t="s">
        <v>698</v>
      </c>
      <c r="F489">
        <f>_xlfn.XLOOKUP(Orders4[[#This Row],[Order ID]],Details!$A:$A, Details!$B:$B)</f>
        <v>11</v>
      </c>
      <c r="G489">
        <f>_xlfn.XLOOKUP(Orders4[[#This Row],[Order ID]],Details!$A:$A,Details!C:C)</f>
        <v>5</v>
      </c>
      <c r="H489">
        <f>_xlfn.XLOOKUP(Orders4[[#This Row],[Order ID]],Details!$A:$A,Details!$D:$D)</f>
        <v>2</v>
      </c>
      <c r="I489" t="str">
        <f>_xlfn.XLOOKUP(Orders4[[#This Row],[Order ID]],Details!A:A,Details!$E:$E)</f>
        <v>Clothing</v>
      </c>
      <c r="J489" t="str">
        <f>_xlfn.XLOOKUP(Orders4[[#This Row],[Order ID]],Details!$A:$A,Details!$F:$F)</f>
        <v>Hankerchief</v>
      </c>
      <c r="K489" t="str">
        <f>_xlfn.XLOOKUP(Orders4[[#This Row],[Order ID]],Details!$A:$A,Details!$G:$G)</f>
        <v>UPI</v>
      </c>
      <c r="L489">
        <f>Orders4[[#This Row],[Amount]]/Orders4[[#This Row],[Quantity]]</f>
        <v>5.5</v>
      </c>
    </row>
    <row r="490" spans="1:12" x14ac:dyDescent="0.25">
      <c r="A490" t="s">
        <v>238</v>
      </c>
      <c r="B490" s="1">
        <v>43185</v>
      </c>
      <c r="C490" t="s">
        <v>787</v>
      </c>
      <c r="D490" t="s">
        <v>647</v>
      </c>
      <c r="E490" t="s">
        <v>647</v>
      </c>
      <c r="F490">
        <f>_xlfn.XLOOKUP(Orders4[[#This Row],[Order ID]],Details!$A:$A, Details!$B:$B)</f>
        <v>27</v>
      </c>
      <c r="G490">
        <f>_xlfn.XLOOKUP(Orders4[[#This Row],[Order ID]],Details!$A:$A,Details!C:C)</f>
        <v>4</v>
      </c>
      <c r="H490">
        <f>_xlfn.XLOOKUP(Orders4[[#This Row],[Order ID]],Details!$A:$A,Details!$D:$D)</f>
        <v>1</v>
      </c>
      <c r="I490" t="str">
        <f>_xlfn.XLOOKUP(Orders4[[#This Row],[Order ID]],Details!A:A,Details!$E:$E)</f>
        <v>Clothing</v>
      </c>
      <c r="J490" t="str">
        <f>_xlfn.XLOOKUP(Orders4[[#This Row],[Order ID]],Details!$A:$A,Details!$F:$F)</f>
        <v>Hankerchief</v>
      </c>
      <c r="K490" t="str">
        <f>_xlfn.XLOOKUP(Orders4[[#This Row],[Order ID]],Details!$A:$A,Details!$G:$G)</f>
        <v>COD</v>
      </c>
      <c r="L490">
        <f>Orders4[[#This Row],[Amount]]/Orders4[[#This Row],[Quantity]]</f>
        <v>27</v>
      </c>
    </row>
    <row r="491" spans="1:12" x14ac:dyDescent="0.25">
      <c r="A491" t="s">
        <v>462</v>
      </c>
      <c r="B491" s="1">
        <v>43186</v>
      </c>
      <c r="C491" t="s">
        <v>774</v>
      </c>
      <c r="D491" t="s">
        <v>584</v>
      </c>
      <c r="E491" t="s">
        <v>585</v>
      </c>
      <c r="F491">
        <f>_xlfn.XLOOKUP(Orders4[[#This Row],[Order ID]],Details!$A:$A, Details!$B:$B)</f>
        <v>80</v>
      </c>
      <c r="G491">
        <f>_xlfn.XLOOKUP(Orders4[[#This Row],[Order ID]],Details!$A:$A,Details!C:C)</f>
        <v>22</v>
      </c>
      <c r="H491">
        <f>_xlfn.XLOOKUP(Orders4[[#This Row],[Order ID]],Details!$A:$A,Details!$D:$D)</f>
        <v>3</v>
      </c>
      <c r="I491" t="str">
        <f>_xlfn.XLOOKUP(Orders4[[#This Row],[Order ID]],Details!A:A,Details!$E:$E)</f>
        <v>Clothing</v>
      </c>
      <c r="J491" t="str">
        <f>_xlfn.XLOOKUP(Orders4[[#This Row],[Order ID]],Details!$A:$A,Details!$F:$F)</f>
        <v>Stole</v>
      </c>
      <c r="K491" t="str">
        <f>_xlfn.XLOOKUP(Orders4[[#This Row],[Order ID]],Details!$A:$A,Details!$G:$G)</f>
        <v>EMI</v>
      </c>
      <c r="L491">
        <f>Orders4[[#This Row],[Amount]]/Orders4[[#This Row],[Quantity]]</f>
        <v>26.666666666666668</v>
      </c>
    </row>
    <row r="492" spans="1:12" x14ac:dyDescent="0.25">
      <c r="A492" t="s">
        <v>323</v>
      </c>
      <c r="B492" s="1">
        <v>43186</v>
      </c>
      <c r="C492" t="s">
        <v>632</v>
      </c>
      <c r="D492" t="s">
        <v>554</v>
      </c>
      <c r="E492" t="s">
        <v>555</v>
      </c>
      <c r="F492">
        <f>_xlfn.XLOOKUP(Orders4[[#This Row],[Order ID]],Details!$A:$A, Details!$B:$B)</f>
        <v>29</v>
      </c>
      <c r="G492">
        <f>_xlfn.XLOOKUP(Orders4[[#This Row],[Order ID]],Details!$A:$A,Details!C:C)</f>
        <v>10</v>
      </c>
      <c r="H492">
        <f>_xlfn.XLOOKUP(Orders4[[#This Row],[Order ID]],Details!$A:$A,Details!$D:$D)</f>
        <v>4</v>
      </c>
      <c r="I492" t="str">
        <f>_xlfn.XLOOKUP(Orders4[[#This Row],[Order ID]],Details!A:A,Details!$E:$E)</f>
        <v>Clothing</v>
      </c>
      <c r="J492" t="str">
        <f>_xlfn.XLOOKUP(Orders4[[#This Row],[Order ID]],Details!$A:$A,Details!$F:$F)</f>
        <v>Hankerchief</v>
      </c>
      <c r="K492" t="str">
        <f>_xlfn.XLOOKUP(Orders4[[#This Row],[Order ID]],Details!$A:$A,Details!$G:$G)</f>
        <v>UPI</v>
      </c>
      <c r="L492">
        <f>Orders4[[#This Row],[Amount]]/Orders4[[#This Row],[Quantity]]</f>
        <v>7.25</v>
      </c>
    </row>
    <row r="493" spans="1:12" x14ac:dyDescent="0.25">
      <c r="A493" t="s">
        <v>441</v>
      </c>
      <c r="B493" s="1">
        <v>43186</v>
      </c>
      <c r="C493" t="s">
        <v>761</v>
      </c>
      <c r="D493" t="s">
        <v>559</v>
      </c>
      <c r="E493" t="s">
        <v>566</v>
      </c>
      <c r="F493">
        <f>_xlfn.XLOOKUP(Orders4[[#This Row],[Order ID]],Details!$A:$A, Details!$B:$B)</f>
        <v>97</v>
      </c>
      <c r="G493">
        <f>_xlfn.XLOOKUP(Orders4[[#This Row],[Order ID]],Details!$A:$A,Details!C:C)</f>
        <v>14</v>
      </c>
      <c r="H493">
        <f>_xlfn.XLOOKUP(Orders4[[#This Row],[Order ID]],Details!$A:$A,Details!$D:$D)</f>
        <v>2</v>
      </c>
      <c r="I493" t="str">
        <f>_xlfn.XLOOKUP(Orders4[[#This Row],[Order ID]],Details!A:A,Details!$E:$E)</f>
        <v>Clothing</v>
      </c>
      <c r="J493" t="str">
        <f>_xlfn.XLOOKUP(Orders4[[#This Row],[Order ID]],Details!$A:$A,Details!$F:$F)</f>
        <v>T-shirt</v>
      </c>
      <c r="K493" t="str">
        <f>_xlfn.XLOOKUP(Orders4[[#This Row],[Order ID]],Details!$A:$A,Details!$G:$G)</f>
        <v>Credit Card</v>
      </c>
      <c r="L493">
        <f>Orders4[[#This Row],[Amount]]/Orders4[[#This Row],[Quantity]]</f>
        <v>48.5</v>
      </c>
    </row>
    <row r="494" spans="1:12" x14ac:dyDescent="0.25">
      <c r="A494" t="s">
        <v>17</v>
      </c>
      <c r="B494" s="1">
        <v>43186</v>
      </c>
      <c r="C494" t="s">
        <v>552</v>
      </c>
      <c r="D494" t="s">
        <v>543</v>
      </c>
      <c r="E494" t="s">
        <v>551</v>
      </c>
      <c r="F494">
        <f>_xlfn.XLOOKUP(Orders4[[#This Row],[Order ID]],Details!$A:$A, Details!$B:$B)</f>
        <v>2847</v>
      </c>
      <c r="G494">
        <f>_xlfn.XLOOKUP(Orders4[[#This Row],[Order ID]],Details!$A:$A,Details!C:C)</f>
        <v>712</v>
      </c>
      <c r="H494">
        <f>_xlfn.XLOOKUP(Orders4[[#This Row],[Order ID]],Details!$A:$A,Details!$D:$D)</f>
        <v>8</v>
      </c>
      <c r="I494" t="str">
        <f>_xlfn.XLOOKUP(Orders4[[#This Row],[Order ID]],Details!A:A,Details!$E:$E)</f>
        <v>Electronics</v>
      </c>
      <c r="J494" t="str">
        <f>_xlfn.XLOOKUP(Orders4[[#This Row],[Order ID]],Details!$A:$A,Details!$F:$F)</f>
        <v>Printers</v>
      </c>
      <c r="K494" t="str">
        <f>_xlfn.XLOOKUP(Orders4[[#This Row],[Order ID]],Details!$A:$A,Details!$G:$G)</f>
        <v>Credit Card</v>
      </c>
      <c r="L494">
        <f>Orders4[[#This Row],[Amount]]/Orders4[[#This Row],[Quantity]]</f>
        <v>355.875</v>
      </c>
    </row>
    <row r="495" spans="1:12" x14ac:dyDescent="0.25">
      <c r="A495" t="s">
        <v>335</v>
      </c>
      <c r="B495" s="1">
        <v>43186</v>
      </c>
      <c r="C495" t="s">
        <v>768</v>
      </c>
      <c r="D495" t="s">
        <v>546</v>
      </c>
      <c r="E495" t="s">
        <v>578</v>
      </c>
      <c r="F495">
        <f>_xlfn.XLOOKUP(Orders4[[#This Row],[Order ID]],Details!$A:$A, Details!$B:$B)</f>
        <v>152</v>
      </c>
      <c r="G495">
        <f>_xlfn.XLOOKUP(Orders4[[#This Row],[Order ID]],Details!$A:$A,Details!C:C)</f>
        <v>50</v>
      </c>
      <c r="H495">
        <f>_xlfn.XLOOKUP(Orders4[[#This Row],[Order ID]],Details!$A:$A,Details!$D:$D)</f>
        <v>6</v>
      </c>
      <c r="I495" t="str">
        <f>_xlfn.XLOOKUP(Orders4[[#This Row],[Order ID]],Details!A:A,Details!$E:$E)</f>
        <v>Clothing</v>
      </c>
      <c r="J495" t="str">
        <f>_xlfn.XLOOKUP(Orders4[[#This Row],[Order ID]],Details!$A:$A,Details!$F:$F)</f>
        <v>Stole</v>
      </c>
      <c r="K495" t="str">
        <f>_xlfn.XLOOKUP(Orders4[[#This Row],[Order ID]],Details!$A:$A,Details!$G:$G)</f>
        <v>COD</v>
      </c>
      <c r="L495">
        <f>Orders4[[#This Row],[Amount]]/Orders4[[#This Row],[Quantity]]</f>
        <v>25.333333333333332</v>
      </c>
    </row>
    <row r="496" spans="1:12" x14ac:dyDescent="0.25">
      <c r="A496" t="s">
        <v>40</v>
      </c>
      <c r="B496" s="1">
        <v>43187</v>
      </c>
      <c r="C496" t="s">
        <v>727</v>
      </c>
      <c r="D496" t="s">
        <v>595</v>
      </c>
      <c r="E496" t="s">
        <v>635</v>
      </c>
      <c r="F496">
        <f>_xlfn.XLOOKUP(Orders4[[#This Row],[Order ID]],Details!$A:$A, Details!$B:$B)</f>
        <v>6</v>
      </c>
      <c r="G496">
        <f>_xlfn.XLOOKUP(Orders4[[#This Row],[Order ID]],Details!$A:$A,Details!C:C)</f>
        <v>1</v>
      </c>
      <c r="H496">
        <f>_xlfn.XLOOKUP(Orders4[[#This Row],[Order ID]],Details!$A:$A,Details!$D:$D)</f>
        <v>1</v>
      </c>
      <c r="I496" t="str">
        <f>_xlfn.XLOOKUP(Orders4[[#This Row],[Order ID]],Details!A:A,Details!$E:$E)</f>
        <v>Clothing</v>
      </c>
      <c r="J496" t="str">
        <f>_xlfn.XLOOKUP(Orders4[[#This Row],[Order ID]],Details!$A:$A,Details!$F:$F)</f>
        <v>Kurti</v>
      </c>
      <c r="K496" t="str">
        <f>_xlfn.XLOOKUP(Orders4[[#This Row],[Order ID]],Details!$A:$A,Details!$G:$G)</f>
        <v>UPI</v>
      </c>
      <c r="L496">
        <f>Orders4[[#This Row],[Amount]]/Orders4[[#This Row],[Quantity]]</f>
        <v>6</v>
      </c>
    </row>
    <row r="497" spans="1:12" x14ac:dyDescent="0.25">
      <c r="A497" t="s">
        <v>243</v>
      </c>
      <c r="B497" s="1">
        <v>43187</v>
      </c>
      <c r="C497" t="s">
        <v>680</v>
      </c>
      <c r="D497" t="s">
        <v>618</v>
      </c>
      <c r="E497" t="s">
        <v>619</v>
      </c>
      <c r="F497">
        <f>_xlfn.XLOOKUP(Orders4[[#This Row],[Order ID]],Details!$A:$A, Details!$B:$B)</f>
        <v>451</v>
      </c>
      <c r="G497">
        <f>_xlfn.XLOOKUP(Orders4[[#This Row],[Order ID]],Details!$A:$A,Details!C:C)</f>
        <v>25</v>
      </c>
      <c r="H497">
        <f>_xlfn.XLOOKUP(Orders4[[#This Row],[Order ID]],Details!$A:$A,Details!$D:$D)</f>
        <v>3</v>
      </c>
      <c r="I497" t="str">
        <f>_xlfn.XLOOKUP(Orders4[[#This Row],[Order ID]],Details!A:A,Details!$E:$E)</f>
        <v>Electronics</v>
      </c>
      <c r="J497" t="str">
        <f>_xlfn.XLOOKUP(Orders4[[#This Row],[Order ID]],Details!$A:$A,Details!$F:$F)</f>
        <v>Phones</v>
      </c>
      <c r="K497" t="str">
        <f>_xlfn.XLOOKUP(Orders4[[#This Row],[Order ID]],Details!$A:$A,Details!$G:$G)</f>
        <v>EMI</v>
      </c>
      <c r="L497">
        <f>Orders4[[#This Row],[Amount]]/Orders4[[#This Row],[Quantity]]</f>
        <v>150.33333333333334</v>
      </c>
    </row>
    <row r="498" spans="1:12" x14ac:dyDescent="0.25">
      <c r="A498" t="s">
        <v>61</v>
      </c>
      <c r="B498" s="1">
        <v>43187</v>
      </c>
      <c r="C498" t="s">
        <v>702</v>
      </c>
      <c r="D498" t="s">
        <v>598</v>
      </c>
      <c r="E498" t="s">
        <v>599</v>
      </c>
      <c r="F498">
        <f>_xlfn.XLOOKUP(Orders4[[#This Row],[Order ID]],Details!$A:$A, Details!$B:$B)</f>
        <v>663</v>
      </c>
      <c r="G498">
        <f>_xlfn.XLOOKUP(Orders4[[#This Row],[Order ID]],Details!$A:$A,Details!C:C)</f>
        <v>-212</v>
      </c>
      <c r="H498">
        <f>_xlfn.XLOOKUP(Orders4[[#This Row],[Order ID]],Details!$A:$A,Details!$D:$D)</f>
        <v>5</v>
      </c>
      <c r="I498" t="str">
        <f>_xlfn.XLOOKUP(Orders4[[#This Row],[Order ID]],Details!A:A,Details!$E:$E)</f>
        <v>Electronics</v>
      </c>
      <c r="J498" t="str">
        <f>_xlfn.XLOOKUP(Orders4[[#This Row],[Order ID]],Details!$A:$A,Details!$F:$F)</f>
        <v>Printers</v>
      </c>
      <c r="K498" t="str">
        <f>_xlfn.XLOOKUP(Orders4[[#This Row],[Order ID]],Details!$A:$A,Details!$G:$G)</f>
        <v>UPI</v>
      </c>
      <c r="L498">
        <f>Orders4[[#This Row],[Amount]]/Orders4[[#This Row],[Quantity]]</f>
        <v>132.6</v>
      </c>
    </row>
    <row r="499" spans="1:12" x14ac:dyDescent="0.25">
      <c r="A499" t="s">
        <v>128</v>
      </c>
      <c r="B499" s="1">
        <v>43188</v>
      </c>
      <c r="C499" t="s">
        <v>709</v>
      </c>
      <c r="D499" t="s">
        <v>627</v>
      </c>
      <c r="E499" t="s">
        <v>628</v>
      </c>
      <c r="F499">
        <f>_xlfn.XLOOKUP(Orders4[[#This Row],[Order ID]],Details!$A:$A, Details!$B:$B)</f>
        <v>96</v>
      </c>
      <c r="G499">
        <f>_xlfn.XLOOKUP(Orders4[[#This Row],[Order ID]],Details!$A:$A,Details!C:C)</f>
        <v>-48</v>
      </c>
      <c r="H499">
        <f>_xlfn.XLOOKUP(Orders4[[#This Row],[Order ID]],Details!$A:$A,Details!$D:$D)</f>
        <v>5</v>
      </c>
      <c r="I499" t="str">
        <f>_xlfn.XLOOKUP(Orders4[[#This Row],[Order ID]],Details!A:A,Details!$E:$E)</f>
        <v>Clothing</v>
      </c>
      <c r="J499" t="str">
        <f>_xlfn.XLOOKUP(Orders4[[#This Row],[Order ID]],Details!$A:$A,Details!$F:$F)</f>
        <v>Leggings</v>
      </c>
      <c r="K499" t="str">
        <f>_xlfn.XLOOKUP(Orders4[[#This Row],[Order ID]],Details!$A:$A,Details!$G:$G)</f>
        <v>UPI</v>
      </c>
      <c r="L499">
        <f>Orders4[[#This Row],[Amount]]/Orders4[[#This Row],[Quantity]]</f>
        <v>19.2</v>
      </c>
    </row>
    <row r="500" spans="1:12" x14ac:dyDescent="0.25">
      <c r="A500" t="s">
        <v>458</v>
      </c>
      <c r="B500" s="1">
        <v>43189</v>
      </c>
      <c r="C500" t="s">
        <v>561</v>
      </c>
      <c r="D500" t="s">
        <v>543</v>
      </c>
      <c r="E500" t="s">
        <v>544</v>
      </c>
      <c r="F500">
        <f>_xlfn.XLOOKUP(Orders4[[#This Row],[Order ID]],Details!$A:$A, Details!$B:$B)</f>
        <v>207</v>
      </c>
      <c r="G500">
        <f>_xlfn.XLOOKUP(Orders4[[#This Row],[Order ID]],Details!$A:$A,Details!C:C)</f>
        <v>37</v>
      </c>
      <c r="H500">
        <f>_xlfn.XLOOKUP(Orders4[[#This Row],[Order ID]],Details!$A:$A,Details!$D:$D)</f>
        <v>4</v>
      </c>
      <c r="I500" t="str">
        <f>_xlfn.XLOOKUP(Orders4[[#This Row],[Order ID]],Details!A:A,Details!$E:$E)</f>
        <v>Clothing</v>
      </c>
      <c r="J500" t="str">
        <f>_xlfn.XLOOKUP(Orders4[[#This Row],[Order ID]],Details!$A:$A,Details!$F:$F)</f>
        <v>Hankerchief</v>
      </c>
      <c r="K500" t="str">
        <f>_xlfn.XLOOKUP(Orders4[[#This Row],[Order ID]],Details!$A:$A,Details!$G:$G)</f>
        <v>COD</v>
      </c>
      <c r="L500">
        <f>Orders4[[#This Row],[Amount]]/Orders4[[#This Row],[Quantity]]</f>
        <v>51.75</v>
      </c>
    </row>
    <row r="501" spans="1:12" x14ac:dyDescent="0.25">
      <c r="A501" t="s">
        <v>116</v>
      </c>
      <c r="B501" s="1">
        <v>43190</v>
      </c>
      <c r="C501" t="s">
        <v>676</v>
      </c>
      <c r="D501" t="s">
        <v>546</v>
      </c>
      <c r="E501" t="s">
        <v>547</v>
      </c>
      <c r="F501">
        <f>_xlfn.XLOOKUP(Orders4[[#This Row],[Order ID]],Details!$A:$A, Details!$B:$B)</f>
        <v>828</v>
      </c>
      <c r="G501">
        <f>_xlfn.XLOOKUP(Orders4[[#This Row],[Order ID]],Details!$A:$A,Details!C:C)</f>
        <v>230</v>
      </c>
      <c r="H501">
        <f>_xlfn.XLOOKUP(Orders4[[#This Row],[Order ID]],Details!$A:$A,Details!$D:$D)</f>
        <v>2</v>
      </c>
      <c r="I501" t="str">
        <f>_xlfn.XLOOKUP(Orders4[[#This Row],[Order ID]],Details!A:A,Details!$E:$E)</f>
        <v>Furniture</v>
      </c>
      <c r="J501" t="str">
        <f>_xlfn.XLOOKUP(Orders4[[#This Row],[Order ID]],Details!$A:$A,Details!$F:$F)</f>
        <v>Chairs</v>
      </c>
      <c r="K501" t="str">
        <f>_xlfn.XLOOKUP(Orders4[[#This Row],[Order ID]],Details!$A:$A,Details!$G:$G)</f>
        <v>COD</v>
      </c>
      <c r="L501">
        <f>Orders4[[#This Row],[Amount]]/Orders4[[#This Row],[Quantity]]</f>
        <v>414</v>
      </c>
    </row>
    <row r="502" spans="1:12" x14ac:dyDescent="0.25">
      <c r="B502" s="1"/>
      <c r="L502">
        <f>SUM(L2:L501)</f>
        <v>50016.902605727591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35FAC-6C8D-47A6-987F-D5420747743B}">
  <dimension ref="A1:E501"/>
  <sheetViews>
    <sheetView workbookViewId="0">
      <selection activeCell="D43" sqref="D43"/>
    </sheetView>
  </sheetViews>
  <sheetFormatPr defaultRowHeight="15" x14ac:dyDescent="0.25"/>
  <cols>
    <col min="1" max="1" width="10.85546875" bestFit="1" customWidth="1"/>
    <col min="2" max="2" width="13.140625" bestFit="1" customWidth="1"/>
    <col min="3" max="3" width="17.7109375" bestFit="1" customWidth="1"/>
    <col min="4" max="4" width="19.42578125" bestFit="1" customWidth="1"/>
    <col min="5" max="5" width="20" bestFit="1" customWidth="1"/>
    <col min="6" max="7" width="11.42578125" bestFit="1" customWidth="1"/>
    <col min="8" max="8" width="14.85546875" bestFit="1" customWidth="1"/>
    <col min="9" max="9" width="19.42578125" bestFit="1" customWidth="1"/>
    <col min="10" max="10" width="20" bestFit="1" customWidth="1"/>
  </cols>
  <sheetData>
    <row r="1" spans="1:5" x14ac:dyDescent="0.25">
      <c r="A1" t="s">
        <v>0</v>
      </c>
      <c r="B1" t="s">
        <v>532</v>
      </c>
      <c r="C1" t="s">
        <v>533</v>
      </c>
      <c r="D1" t="s">
        <v>534</v>
      </c>
      <c r="E1" t="s">
        <v>535</v>
      </c>
    </row>
    <row r="2" spans="1:5" x14ac:dyDescent="0.25">
      <c r="A2" t="s">
        <v>11</v>
      </c>
      <c r="B2" s="1">
        <v>43169</v>
      </c>
      <c r="C2" t="s">
        <v>536</v>
      </c>
      <c r="D2" t="s">
        <v>537</v>
      </c>
      <c r="E2" t="s">
        <v>538</v>
      </c>
    </row>
    <row r="3" spans="1:5" x14ac:dyDescent="0.25">
      <c r="A3" t="s">
        <v>164</v>
      </c>
      <c r="B3" s="1">
        <v>43134</v>
      </c>
      <c r="C3" t="s">
        <v>539</v>
      </c>
      <c r="D3" t="s">
        <v>540</v>
      </c>
      <c r="E3" t="s">
        <v>540</v>
      </c>
    </row>
    <row r="4" spans="1:5" x14ac:dyDescent="0.25">
      <c r="A4" t="s">
        <v>225</v>
      </c>
      <c r="B4" s="1">
        <v>43124</v>
      </c>
      <c r="C4" t="s">
        <v>541</v>
      </c>
      <c r="D4" t="s">
        <v>537</v>
      </c>
      <c r="E4" t="s">
        <v>538</v>
      </c>
    </row>
    <row r="5" spans="1:5" x14ac:dyDescent="0.25">
      <c r="A5" t="s">
        <v>35</v>
      </c>
      <c r="B5" s="1">
        <v>43461</v>
      </c>
      <c r="C5" t="s">
        <v>542</v>
      </c>
      <c r="D5" t="s">
        <v>543</v>
      </c>
      <c r="E5" t="s">
        <v>544</v>
      </c>
    </row>
    <row r="6" spans="1:5" x14ac:dyDescent="0.25">
      <c r="A6" t="s">
        <v>104</v>
      </c>
      <c r="B6" s="1">
        <v>43333</v>
      </c>
      <c r="C6" t="s">
        <v>545</v>
      </c>
      <c r="D6" t="s">
        <v>546</v>
      </c>
      <c r="E6" t="s">
        <v>547</v>
      </c>
    </row>
    <row r="7" spans="1:5" x14ac:dyDescent="0.25">
      <c r="A7" t="s">
        <v>94</v>
      </c>
      <c r="B7" s="1">
        <v>43121</v>
      </c>
      <c r="C7" t="s">
        <v>548</v>
      </c>
      <c r="D7" t="s">
        <v>537</v>
      </c>
      <c r="E7" t="s">
        <v>549</v>
      </c>
    </row>
    <row r="8" spans="1:5" x14ac:dyDescent="0.25">
      <c r="A8" t="s">
        <v>15</v>
      </c>
      <c r="B8" s="1">
        <v>43116</v>
      </c>
      <c r="C8" t="s">
        <v>550</v>
      </c>
      <c r="D8" t="s">
        <v>543</v>
      </c>
      <c r="E8" t="s">
        <v>551</v>
      </c>
    </row>
    <row r="9" spans="1:5" x14ac:dyDescent="0.25">
      <c r="A9" t="s">
        <v>17</v>
      </c>
      <c r="B9" s="1">
        <v>43186</v>
      </c>
      <c r="C9" t="s">
        <v>552</v>
      </c>
      <c r="D9" t="s">
        <v>543</v>
      </c>
      <c r="E9" t="s">
        <v>551</v>
      </c>
    </row>
    <row r="10" spans="1:5" x14ac:dyDescent="0.25">
      <c r="A10" t="s">
        <v>208</v>
      </c>
      <c r="B10" s="1">
        <v>43374</v>
      </c>
      <c r="C10" t="s">
        <v>553</v>
      </c>
      <c r="D10" t="s">
        <v>554</v>
      </c>
      <c r="E10" t="s">
        <v>555</v>
      </c>
    </row>
    <row r="11" spans="1:5" x14ac:dyDescent="0.25">
      <c r="A11" t="s">
        <v>20</v>
      </c>
      <c r="B11" s="1">
        <v>43191</v>
      </c>
      <c r="C11" t="s">
        <v>556</v>
      </c>
      <c r="D11" t="s">
        <v>543</v>
      </c>
      <c r="E11" t="s">
        <v>551</v>
      </c>
    </row>
    <row r="12" spans="1:5" x14ac:dyDescent="0.25">
      <c r="A12" t="s">
        <v>187</v>
      </c>
      <c r="B12" s="1">
        <v>43417</v>
      </c>
      <c r="C12" t="s">
        <v>557</v>
      </c>
      <c r="D12" t="s">
        <v>543</v>
      </c>
      <c r="E12" t="s">
        <v>544</v>
      </c>
    </row>
    <row r="13" spans="1:5" x14ac:dyDescent="0.25">
      <c r="A13" t="s">
        <v>436</v>
      </c>
      <c r="B13" s="1">
        <v>43121</v>
      </c>
      <c r="C13" t="s">
        <v>558</v>
      </c>
      <c r="D13" t="s">
        <v>559</v>
      </c>
      <c r="E13" t="s">
        <v>560</v>
      </c>
    </row>
    <row r="14" spans="1:5" x14ac:dyDescent="0.25">
      <c r="A14" t="s">
        <v>458</v>
      </c>
      <c r="B14" s="1">
        <v>43189</v>
      </c>
      <c r="C14" t="s">
        <v>561</v>
      </c>
      <c r="D14" t="s">
        <v>543</v>
      </c>
      <c r="E14" t="s">
        <v>544</v>
      </c>
    </row>
    <row r="15" spans="1:5" x14ac:dyDescent="0.25">
      <c r="A15" t="s">
        <v>321</v>
      </c>
      <c r="B15" s="1">
        <v>43135</v>
      </c>
      <c r="C15" t="s">
        <v>562</v>
      </c>
      <c r="D15" t="s">
        <v>543</v>
      </c>
      <c r="E15" t="s">
        <v>551</v>
      </c>
    </row>
    <row r="16" spans="1:5" x14ac:dyDescent="0.25">
      <c r="A16" t="s">
        <v>22</v>
      </c>
      <c r="B16" s="1">
        <v>43429</v>
      </c>
      <c r="C16" t="s">
        <v>563</v>
      </c>
      <c r="D16" t="s">
        <v>537</v>
      </c>
      <c r="E16" t="s">
        <v>538</v>
      </c>
    </row>
    <row r="17" spans="1:5" x14ac:dyDescent="0.25">
      <c r="A17" t="s">
        <v>37</v>
      </c>
      <c r="B17" s="1">
        <v>43337</v>
      </c>
      <c r="C17" t="s">
        <v>539</v>
      </c>
      <c r="D17" t="s">
        <v>537</v>
      </c>
      <c r="E17" t="s">
        <v>538</v>
      </c>
    </row>
    <row r="18" spans="1:5" x14ac:dyDescent="0.25">
      <c r="A18" t="s">
        <v>34</v>
      </c>
      <c r="B18" s="1">
        <v>43435</v>
      </c>
      <c r="C18" t="s">
        <v>545</v>
      </c>
      <c r="D18" t="s">
        <v>537</v>
      </c>
      <c r="E18" t="s">
        <v>549</v>
      </c>
    </row>
    <row r="19" spans="1:5" x14ac:dyDescent="0.25">
      <c r="A19" t="s">
        <v>310</v>
      </c>
      <c r="B19" s="1">
        <v>43391</v>
      </c>
      <c r="C19" t="s">
        <v>564</v>
      </c>
      <c r="D19" t="s">
        <v>543</v>
      </c>
      <c r="E19" t="s">
        <v>544</v>
      </c>
    </row>
    <row r="20" spans="1:5" x14ac:dyDescent="0.25">
      <c r="A20" t="s">
        <v>41</v>
      </c>
      <c r="B20" s="1">
        <v>43412</v>
      </c>
      <c r="C20" t="s">
        <v>565</v>
      </c>
      <c r="D20" t="s">
        <v>559</v>
      </c>
      <c r="E20" t="s">
        <v>566</v>
      </c>
    </row>
    <row r="21" spans="1:5" x14ac:dyDescent="0.25">
      <c r="A21" t="s">
        <v>395</v>
      </c>
      <c r="B21" s="1">
        <v>43419</v>
      </c>
      <c r="C21" t="s">
        <v>567</v>
      </c>
      <c r="D21" t="s">
        <v>568</v>
      </c>
      <c r="E21" t="s">
        <v>569</v>
      </c>
    </row>
    <row r="22" spans="1:5" x14ac:dyDescent="0.25">
      <c r="A22" t="s">
        <v>50</v>
      </c>
      <c r="B22" s="1">
        <v>43399</v>
      </c>
      <c r="C22" t="s">
        <v>570</v>
      </c>
      <c r="D22" t="s">
        <v>571</v>
      </c>
      <c r="E22" t="s">
        <v>572</v>
      </c>
    </row>
    <row r="23" spans="1:5" x14ac:dyDescent="0.25">
      <c r="A23" t="s">
        <v>39</v>
      </c>
      <c r="B23" s="1">
        <v>43362</v>
      </c>
      <c r="C23" t="s">
        <v>541</v>
      </c>
      <c r="D23" t="s">
        <v>537</v>
      </c>
      <c r="E23" t="s">
        <v>538</v>
      </c>
    </row>
    <row r="24" spans="1:5" x14ac:dyDescent="0.25">
      <c r="A24" t="s">
        <v>53</v>
      </c>
      <c r="B24" s="1">
        <v>43262</v>
      </c>
      <c r="C24" t="s">
        <v>573</v>
      </c>
      <c r="D24" t="s">
        <v>571</v>
      </c>
      <c r="E24" t="s">
        <v>572</v>
      </c>
    </row>
    <row r="25" spans="1:5" x14ac:dyDescent="0.25">
      <c r="A25" t="s">
        <v>58</v>
      </c>
      <c r="B25" s="1">
        <v>43149</v>
      </c>
      <c r="C25" t="s">
        <v>574</v>
      </c>
      <c r="D25" t="s">
        <v>575</v>
      </c>
      <c r="E25" t="s">
        <v>576</v>
      </c>
    </row>
    <row r="26" spans="1:5" x14ac:dyDescent="0.25">
      <c r="A26" t="s">
        <v>60</v>
      </c>
      <c r="B26" s="1">
        <v>43139</v>
      </c>
      <c r="C26" t="s">
        <v>577</v>
      </c>
      <c r="D26" t="s">
        <v>546</v>
      </c>
      <c r="E26" t="s">
        <v>578</v>
      </c>
    </row>
    <row r="27" spans="1:5" x14ac:dyDescent="0.25">
      <c r="A27" t="s">
        <v>67</v>
      </c>
      <c r="B27" s="1">
        <v>43331</v>
      </c>
      <c r="C27" t="s">
        <v>579</v>
      </c>
      <c r="D27" t="s">
        <v>580</v>
      </c>
      <c r="E27" t="s">
        <v>581</v>
      </c>
    </row>
    <row r="28" spans="1:5" x14ac:dyDescent="0.25">
      <c r="A28" t="s">
        <v>306</v>
      </c>
      <c r="B28" s="1">
        <v>43444</v>
      </c>
      <c r="C28" t="s">
        <v>582</v>
      </c>
      <c r="D28" t="s">
        <v>543</v>
      </c>
      <c r="E28" t="s">
        <v>544</v>
      </c>
    </row>
    <row r="29" spans="1:5" x14ac:dyDescent="0.25">
      <c r="A29" t="s">
        <v>74</v>
      </c>
      <c r="B29" s="1">
        <v>43104</v>
      </c>
      <c r="C29" t="s">
        <v>583</v>
      </c>
      <c r="D29" t="s">
        <v>584</v>
      </c>
      <c r="E29" t="s">
        <v>585</v>
      </c>
    </row>
    <row r="30" spans="1:5" x14ac:dyDescent="0.25">
      <c r="A30" t="s">
        <v>64</v>
      </c>
      <c r="B30" s="1">
        <v>43373</v>
      </c>
      <c r="C30" t="s">
        <v>586</v>
      </c>
      <c r="D30" t="s">
        <v>546</v>
      </c>
      <c r="E30" t="s">
        <v>547</v>
      </c>
    </row>
    <row r="31" spans="1:5" x14ac:dyDescent="0.25">
      <c r="A31" t="s">
        <v>526</v>
      </c>
      <c r="B31" s="1">
        <v>43217</v>
      </c>
      <c r="C31" t="s">
        <v>587</v>
      </c>
      <c r="D31" t="s">
        <v>546</v>
      </c>
      <c r="E31" t="s">
        <v>578</v>
      </c>
    </row>
    <row r="32" spans="1:5" x14ac:dyDescent="0.25">
      <c r="A32" t="s">
        <v>7</v>
      </c>
      <c r="B32" s="1">
        <v>43255</v>
      </c>
      <c r="C32" t="s">
        <v>588</v>
      </c>
      <c r="D32" t="s">
        <v>546</v>
      </c>
      <c r="E32" t="s">
        <v>547</v>
      </c>
    </row>
    <row r="33" spans="1:5" x14ac:dyDescent="0.25">
      <c r="A33" t="s">
        <v>71</v>
      </c>
      <c r="B33" s="1">
        <v>43447</v>
      </c>
      <c r="C33" t="s">
        <v>589</v>
      </c>
      <c r="D33" t="s">
        <v>543</v>
      </c>
      <c r="E33" t="s">
        <v>551</v>
      </c>
    </row>
    <row r="34" spans="1:5" x14ac:dyDescent="0.25">
      <c r="A34" t="s">
        <v>44</v>
      </c>
      <c r="B34" s="1">
        <v>43448</v>
      </c>
      <c r="C34" t="s">
        <v>590</v>
      </c>
      <c r="D34" t="s">
        <v>540</v>
      </c>
      <c r="E34" t="s">
        <v>540</v>
      </c>
    </row>
    <row r="35" spans="1:5" x14ac:dyDescent="0.25">
      <c r="A35" t="s">
        <v>46</v>
      </c>
      <c r="B35" s="1">
        <v>43113</v>
      </c>
      <c r="C35" t="s">
        <v>591</v>
      </c>
      <c r="D35" t="s">
        <v>546</v>
      </c>
      <c r="E35" t="s">
        <v>547</v>
      </c>
    </row>
    <row r="36" spans="1:5" x14ac:dyDescent="0.25">
      <c r="A36" t="s">
        <v>75</v>
      </c>
      <c r="B36" s="1">
        <v>43202</v>
      </c>
      <c r="C36" t="s">
        <v>592</v>
      </c>
      <c r="D36" t="s">
        <v>593</v>
      </c>
      <c r="E36" t="s">
        <v>576</v>
      </c>
    </row>
    <row r="37" spans="1:5" x14ac:dyDescent="0.25">
      <c r="A37" t="s">
        <v>385</v>
      </c>
      <c r="B37" s="1">
        <v>43457</v>
      </c>
      <c r="C37" t="s">
        <v>594</v>
      </c>
      <c r="D37" t="s">
        <v>595</v>
      </c>
      <c r="E37" t="s">
        <v>596</v>
      </c>
    </row>
    <row r="38" spans="1:5" x14ac:dyDescent="0.25">
      <c r="A38" t="s">
        <v>528</v>
      </c>
      <c r="B38" s="1">
        <v>43344</v>
      </c>
      <c r="C38" t="s">
        <v>597</v>
      </c>
      <c r="D38" t="s">
        <v>598</v>
      </c>
      <c r="E38" t="s">
        <v>599</v>
      </c>
    </row>
    <row r="39" spans="1:5" x14ac:dyDescent="0.25">
      <c r="A39" t="s">
        <v>529</v>
      </c>
      <c r="B39" s="1">
        <v>43214</v>
      </c>
      <c r="C39" t="s">
        <v>600</v>
      </c>
      <c r="D39" t="s">
        <v>580</v>
      </c>
      <c r="E39" t="s">
        <v>581</v>
      </c>
    </row>
    <row r="40" spans="1:5" x14ac:dyDescent="0.25">
      <c r="A40" t="s">
        <v>76</v>
      </c>
      <c r="B40" s="1">
        <v>43303</v>
      </c>
      <c r="C40" t="s">
        <v>601</v>
      </c>
      <c r="D40" t="s">
        <v>546</v>
      </c>
      <c r="E40" t="s">
        <v>578</v>
      </c>
    </row>
    <row r="41" spans="1:5" x14ac:dyDescent="0.25">
      <c r="A41" t="s">
        <v>72</v>
      </c>
      <c r="B41" s="1">
        <v>43109</v>
      </c>
      <c r="C41" t="s">
        <v>602</v>
      </c>
      <c r="D41" t="s">
        <v>559</v>
      </c>
      <c r="E41" t="s">
        <v>566</v>
      </c>
    </row>
    <row r="42" spans="1:5" x14ac:dyDescent="0.25">
      <c r="A42" t="s">
        <v>51</v>
      </c>
      <c r="B42" s="1">
        <v>43406</v>
      </c>
      <c r="C42" t="s">
        <v>603</v>
      </c>
      <c r="D42" t="s">
        <v>543</v>
      </c>
      <c r="E42" t="s">
        <v>551</v>
      </c>
    </row>
    <row r="43" spans="1:5" x14ac:dyDescent="0.25">
      <c r="A43" t="s">
        <v>253</v>
      </c>
      <c r="B43" s="1">
        <v>43180</v>
      </c>
      <c r="C43" t="s">
        <v>604</v>
      </c>
      <c r="D43" t="s">
        <v>546</v>
      </c>
      <c r="E43" t="s">
        <v>547</v>
      </c>
    </row>
    <row r="44" spans="1:5" x14ac:dyDescent="0.25">
      <c r="A44" t="s">
        <v>52</v>
      </c>
      <c r="B44" s="1">
        <v>43354</v>
      </c>
      <c r="C44" t="s">
        <v>605</v>
      </c>
      <c r="D44" t="s">
        <v>543</v>
      </c>
      <c r="E44" t="s">
        <v>544</v>
      </c>
    </row>
    <row r="45" spans="1:5" x14ac:dyDescent="0.25">
      <c r="A45" t="s">
        <v>227</v>
      </c>
      <c r="B45" s="1">
        <v>43293</v>
      </c>
      <c r="C45" t="s">
        <v>606</v>
      </c>
      <c r="D45" t="s">
        <v>537</v>
      </c>
      <c r="E45" t="s">
        <v>607</v>
      </c>
    </row>
    <row r="46" spans="1:5" x14ac:dyDescent="0.25">
      <c r="A46" t="s">
        <v>83</v>
      </c>
      <c r="B46" s="1">
        <v>43185</v>
      </c>
      <c r="C46" t="s">
        <v>574</v>
      </c>
      <c r="D46" t="s">
        <v>575</v>
      </c>
      <c r="E46" t="s">
        <v>576</v>
      </c>
    </row>
    <row r="47" spans="1:5" x14ac:dyDescent="0.25">
      <c r="A47" t="s">
        <v>55</v>
      </c>
      <c r="B47" s="1">
        <v>43163</v>
      </c>
      <c r="C47" t="s">
        <v>608</v>
      </c>
      <c r="D47" t="s">
        <v>543</v>
      </c>
      <c r="E47" t="s">
        <v>551</v>
      </c>
    </row>
    <row r="48" spans="1:5" x14ac:dyDescent="0.25">
      <c r="A48" t="s">
        <v>307</v>
      </c>
      <c r="B48" s="1">
        <v>43367</v>
      </c>
      <c r="C48" t="s">
        <v>609</v>
      </c>
      <c r="D48" t="s">
        <v>546</v>
      </c>
      <c r="E48" t="s">
        <v>547</v>
      </c>
    </row>
    <row r="49" spans="1:5" x14ac:dyDescent="0.25">
      <c r="A49" t="s">
        <v>123</v>
      </c>
      <c r="B49" s="1">
        <v>43231</v>
      </c>
      <c r="C49" t="s">
        <v>610</v>
      </c>
      <c r="D49" t="s">
        <v>543</v>
      </c>
      <c r="E49" t="s">
        <v>551</v>
      </c>
    </row>
    <row r="50" spans="1:5" x14ac:dyDescent="0.25">
      <c r="A50" t="s">
        <v>87</v>
      </c>
      <c r="B50" s="1">
        <v>43198</v>
      </c>
      <c r="C50" t="s">
        <v>611</v>
      </c>
      <c r="D50" t="s">
        <v>612</v>
      </c>
      <c r="E50" t="s">
        <v>613</v>
      </c>
    </row>
    <row r="51" spans="1:5" x14ac:dyDescent="0.25">
      <c r="A51" t="s">
        <v>127</v>
      </c>
      <c r="B51" s="1">
        <v>43326</v>
      </c>
      <c r="C51" t="s">
        <v>614</v>
      </c>
      <c r="D51" t="s">
        <v>546</v>
      </c>
      <c r="E51" t="s">
        <v>547</v>
      </c>
    </row>
    <row r="52" spans="1:5" x14ac:dyDescent="0.25">
      <c r="A52" t="s">
        <v>70</v>
      </c>
      <c r="B52" s="1">
        <v>43355</v>
      </c>
      <c r="C52" t="s">
        <v>615</v>
      </c>
      <c r="D52" t="s">
        <v>543</v>
      </c>
      <c r="E52" t="s">
        <v>551</v>
      </c>
    </row>
    <row r="53" spans="1:5" x14ac:dyDescent="0.25">
      <c r="A53" t="s">
        <v>149</v>
      </c>
      <c r="B53" s="1">
        <v>43193</v>
      </c>
      <c r="C53" t="s">
        <v>616</v>
      </c>
      <c r="D53" t="s">
        <v>546</v>
      </c>
      <c r="E53" t="s">
        <v>578</v>
      </c>
    </row>
    <row r="54" spans="1:5" x14ac:dyDescent="0.25">
      <c r="A54" t="s">
        <v>88</v>
      </c>
      <c r="B54" s="1">
        <v>43166</v>
      </c>
      <c r="C54" t="s">
        <v>617</v>
      </c>
      <c r="D54" t="s">
        <v>618</v>
      </c>
      <c r="E54" t="s">
        <v>619</v>
      </c>
    </row>
    <row r="55" spans="1:5" x14ac:dyDescent="0.25">
      <c r="A55" t="s">
        <v>117</v>
      </c>
      <c r="B55" s="1">
        <v>43228</v>
      </c>
      <c r="C55" t="s">
        <v>620</v>
      </c>
      <c r="D55" t="s">
        <v>584</v>
      </c>
      <c r="E55" t="s">
        <v>585</v>
      </c>
    </row>
    <row r="56" spans="1:5" x14ac:dyDescent="0.25">
      <c r="A56" t="s">
        <v>171</v>
      </c>
      <c r="B56" s="1">
        <v>43412</v>
      </c>
      <c r="C56" t="s">
        <v>621</v>
      </c>
      <c r="D56" t="s">
        <v>546</v>
      </c>
      <c r="E56" t="s">
        <v>578</v>
      </c>
    </row>
    <row r="57" spans="1:5" x14ac:dyDescent="0.25">
      <c r="A57" t="s">
        <v>91</v>
      </c>
      <c r="B57" s="1">
        <v>43338</v>
      </c>
      <c r="C57" t="s">
        <v>622</v>
      </c>
      <c r="D57" t="s">
        <v>546</v>
      </c>
      <c r="E57" t="s">
        <v>547</v>
      </c>
    </row>
    <row r="58" spans="1:5" x14ac:dyDescent="0.25">
      <c r="A58" t="s">
        <v>92</v>
      </c>
      <c r="B58" s="1">
        <v>43135</v>
      </c>
      <c r="C58" t="s">
        <v>623</v>
      </c>
      <c r="D58" t="s">
        <v>540</v>
      </c>
      <c r="E58" t="s">
        <v>540</v>
      </c>
    </row>
    <row r="59" spans="1:5" x14ac:dyDescent="0.25">
      <c r="A59" t="s">
        <v>96</v>
      </c>
      <c r="B59" s="1">
        <v>43102</v>
      </c>
      <c r="C59" t="s">
        <v>624</v>
      </c>
      <c r="D59" t="s">
        <v>580</v>
      </c>
      <c r="E59" t="s">
        <v>581</v>
      </c>
    </row>
    <row r="60" spans="1:5" x14ac:dyDescent="0.25">
      <c r="A60" t="s">
        <v>98</v>
      </c>
      <c r="B60" s="1">
        <v>43140</v>
      </c>
      <c r="C60" t="s">
        <v>625</v>
      </c>
      <c r="D60" t="s">
        <v>598</v>
      </c>
      <c r="E60" t="s">
        <v>599</v>
      </c>
    </row>
    <row r="61" spans="1:5" x14ac:dyDescent="0.25">
      <c r="A61" t="s">
        <v>99</v>
      </c>
      <c r="B61" s="1">
        <v>43273</v>
      </c>
      <c r="C61" t="s">
        <v>626</v>
      </c>
      <c r="D61" t="s">
        <v>627</v>
      </c>
      <c r="E61" t="s">
        <v>628</v>
      </c>
    </row>
    <row r="62" spans="1:5" x14ac:dyDescent="0.25">
      <c r="A62" t="s">
        <v>101</v>
      </c>
      <c r="B62" s="1">
        <v>43402</v>
      </c>
      <c r="C62" t="s">
        <v>629</v>
      </c>
      <c r="D62" t="s">
        <v>543</v>
      </c>
      <c r="E62" t="s">
        <v>551</v>
      </c>
    </row>
    <row r="63" spans="1:5" x14ac:dyDescent="0.25">
      <c r="A63" t="s">
        <v>346</v>
      </c>
      <c r="B63" s="1">
        <v>43191</v>
      </c>
      <c r="C63" t="s">
        <v>630</v>
      </c>
      <c r="D63" t="s">
        <v>559</v>
      </c>
      <c r="E63" t="s">
        <v>566</v>
      </c>
    </row>
    <row r="64" spans="1:5" x14ac:dyDescent="0.25">
      <c r="A64" t="s">
        <v>186</v>
      </c>
      <c r="B64" s="1">
        <v>43427</v>
      </c>
      <c r="C64" t="s">
        <v>631</v>
      </c>
      <c r="D64" t="s">
        <v>546</v>
      </c>
      <c r="E64" t="s">
        <v>547</v>
      </c>
    </row>
    <row r="65" spans="1:5" x14ac:dyDescent="0.25">
      <c r="A65" t="s">
        <v>204</v>
      </c>
      <c r="B65" s="1">
        <v>43151</v>
      </c>
      <c r="C65" t="s">
        <v>632</v>
      </c>
      <c r="D65" t="s">
        <v>554</v>
      </c>
      <c r="E65" t="s">
        <v>555</v>
      </c>
    </row>
    <row r="66" spans="1:5" x14ac:dyDescent="0.25">
      <c r="A66" t="s">
        <v>235</v>
      </c>
      <c r="B66" s="1">
        <v>43120</v>
      </c>
      <c r="C66" t="s">
        <v>633</v>
      </c>
      <c r="D66" t="s">
        <v>543</v>
      </c>
      <c r="E66" t="s">
        <v>551</v>
      </c>
    </row>
    <row r="67" spans="1:5" x14ac:dyDescent="0.25">
      <c r="A67" t="s">
        <v>158</v>
      </c>
      <c r="B67" s="1">
        <v>43252</v>
      </c>
      <c r="C67" t="s">
        <v>634</v>
      </c>
      <c r="D67" t="s">
        <v>595</v>
      </c>
      <c r="E67" t="s">
        <v>635</v>
      </c>
    </row>
    <row r="68" spans="1:5" x14ac:dyDescent="0.25">
      <c r="A68" t="s">
        <v>118</v>
      </c>
      <c r="B68" s="1">
        <v>43403</v>
      </c>
      <c r="C68" t="s">
        <v>636</v>
      </c>
      <c r="D68" t="s">
        <v>618</v>
      </c>
      <c r="E68" t="s">
        <v>619</v>
      </c>
    </row>
    <row r="69" spans="1:5" x14ac:dyDescent="0.25">
      <c r="A69" t="s">
        <v>527</v>
      </c>
      <c r="B69" s="1">
        <v>43438</v>
      </c>
      <c r="C69" t="s">
        <v>637</v>
      </c>
      <c r="D69" t="s">
        <v>575</v>
      </c>
      <c r="E69" t="s">
        <v>638</v>
      </c>
    </row>
    <row r="70" spans="1:5" x14ac:dyDescent="0.25">
      <c r="A70" t="s">
        <v>216</v>
      </c>
      <c r="B70" s="1">
        <v>43463</v>
      </c>
      <c r="C70" t="s">
        <v>591</v>
      </c>
      <c r="D70" t="s">
        <v>543</v>
      </c>
      <c r="E70" t="s">
        <v>544</v>
      </c>
    </row>
    <row r="71" spans="1:5" x14ac:dyDescent="0.25">
      <c r="A71" t="s">
        <v>132</v>
      </c>
      <c r="B71" s="1">
        <v>43114</v>
      </c>
      <c r="C71" t="s">
        <v>639</v>
      </c>
      <c r="D71" t="s">
        <v>554</v>
      </c>
      <c r="E71" t="s">
        <v>555</v>
      </c>
    </row>
    <row r="72" spans="1:5" x14ac:dyDescent="0.25">
      <c r="A72" t="s">
        <v>77</v>
      </c>
      <c r="B72" s="1">
        <v>43345</v>
      </c>
      <c r="C72" t="s">
        <v>640</v>
      </c>
      <c r="D72" t="s">
        <v>568</v>
      </c>
      <c r="E72" t="s">
        <v>569</v>
      </c>
    </row>
    <row r="73" spans="1:5" x14ac:dyDescent="0.25">
      <c r="A73" t="s">
        <v>105</v>
      </c>
      <c r="B73" s="1">
        <v>43118</v>
      </c>
      <c r="C73" t="s">
        <v>641</v>
      </c>
      <c r="D73" t="s">
        <v>546</v>
      </c>
      <c r="E73" t="s">
        <v>547</v>
      </c>
    </row>
    <row r="74" spans="1:5" x14ac:dyDescent="0.25">
      <c r="A74" t="s">
        <v>121</v>
      </c>
      <c r="B74" s="1">
        <v>43303</v>
      </c>
      <c r="C74" t="s">
        <v>642</v>
      </c>
      <c r="D74" t="s">
        <v>595</v>
      </c>
      <c r="E74" t="s">
        <v>635</v>
      </c>
    </row>
    <row r="75" spans="1:5" x14ac:dyDescent="0.25">
      <c r="A75" t="s">
        <v>196</v>
      </c>
      <c r="B75" s="1">
        <v>43428</v>
      </c>
      <c r="C75" t="s">
        <v>643</v>
      </c>
      <c r="D75" t="s">
        <v>559</v>
      </c>
      <c r="E75" t="s">
        <v>560</v>
      </c>
    </row>
    <row r="76" spans="1:5" x14ac:dyDescent="0.25">
      <c r="A76" t="s">
        <v>129</v>
      </c>
      <c r="B76" s="1">
        <v>43175</v>
      </c>
      <c r="C76" t="s">
        <v>644</v>
      </c>
      <c r="D76" t="s">
        <v>546</v>
      </c>
      <c r="E76" t="s">
        <v>578</v>
      </c>
    </row>
    <row r="77" spans="1:5" x14ac:dyDescent="0.25">
      <c r="A77" t="s">
        <v>79</v>
      </c>
      <c r="B77" s="1">
        <v>43383</v>
      </c>
      <c r="C77" t="s">
        <v>645</v>
      </c>
      <c r="D77" t="s">
        <v>575</v>
      </c>
      <c r="E77" t="s">
        <v>576</v>
      </c>
    </row>
    <row r="78" spans="1:5" x14ac:dyDescent="0.25">
      <c r="A78" t="s">
        <v>84</v>
      </c>
      <c r="B78" s="1">
        <v>43422</v>
      </c>
      <c r="C78" t="s">
        <v>646</v>
      </c>
      <c r="D78" t="s">
        <v>647</v>
      </c>
      <c r="E78" t="s">
        <v>647</v>
      </c>
    </row>
    <row r="79" spans="1:5" x14ac:dyDescent="0.25">
      <c r="A79" t="s">
        <v>285</v>
      </c>
      <c r="B79" s="1">
        <v>43150</v>
      </c>
      <c r="C79" t="s">
        <v>648</v>
      </c>
      <c r="D79" t="s">
        <v>593</v>
      </c>
      <c r="E79" t="s">
        <v>576</v>
      </c>
    </row>
    <row r="80" spans="1:5" x14ac:dyDescent="0.25">
      <c r="A80" t="s">
        <v>470</v>
      </c>
      <c r="B80" s="1">
        <v>43213</v>
      </c>
      <c r="C80" t="s">
        <v>561</v>
      </c>
      <c r="D80" t="s">
        <v>543</v>
      </c>
      <c r="E80" t="s">
        <v>544</v>
      </c>
    </row>
    <row r="81" spans="1:5" x14ac:dyDescent="0.25">
      <c r="A81" t="s">
        <v>524</v>
      </c>
      <c r="B81" s="1">
        <v>43105</v>
      </c>
      <c r="C81" t="s">
        <v>649</v>
      </c>
      <c r="D81" t="s">
        <v>593</v>
      </c>
      <c r="E81" t="s">
        <v>576</v>
      </c>
    </row>
    <row r="82" spans="1:5" x14ac:dyDescent="0.25">
      <c r="A82" t="s">
        <v>265</v>
      </c>
      <c r="B82" s="1">
        <v>43199</v>
      </c>
      <c r="C82" t="s">
        <v>562</v>
      </c>
      <c r="D82" t="s">
        <v>568</v>
      </c>
      <c r="E82" t="s">
        <v>569</v>
      </c>
    </row>
    <row r="83" spans="1:5" x14ac:dyDescent="0.25">
      <c r="A83" t="s">
        <v>97</v>
      </c>
      <c r="B83" s="1">
        <v>43353</v>
      </c>
      <c r="C83" t="s">
        <v>650</v>
      </c>
      <c r="D83" t="s">
        <v>546</v>
      </c>
      <c r="E83" t="s">
        <v>547</v>
      </c>
    </row>
    <row r="84" spans="1:5" x14ac:dyDescent="0.25">
      <c r="A84" t="s">
        <v>344</v>
      </c>
      <c r="B84" s="1">
        <v>43314</v>
      </c>
      <c r="C84" t="s">
        <v>651</v>
      </c>
      <c r="D84" t="s">
        <v>575</v>
      </c>
      <c r="E84" t="s">
        <v>576</v>
      </c>
    </row>
    <row r="85" spans="1:5" x14ac:dyDescent="0.25">
      <c r="A85" t="s">
        <v>478</v>
      </c>
      <c r="B85" s="1">
        <v>43127</v>
      </c>
      <c r="C85" t="s">
        <v>652</v>
      </c>
      <c r="D85" t="s">
        <v>543</v>
      </c>
      <c r="E85" t="s">
        <v>544</v>
      </c>
    </row>
    <row r="86" spans="1:5" x14ac:dyDescent="0.25">
      <c r="A86" t="s">
        <v>29</v>
      </c>
      <c r="B86" s="1">
        <v>43219</v>
      </c>
      <c r="C86" t="s">
        <v>653</v>
      </c>
      <c r="D86" t="s">
        <v>627</v>
      </c>
      <c r="E86" t="s">
        <v>628</v>
      </c>
    </row>
    <row r="87" spans="1:5" x14ac:dyDescent="0.25">
      <c r="A87" t="s">
        <v>103</v>
      </c>
      <c r="B87" s="1">
        <v>43303</v>
      </c>
      <c r="C87" t="s">
        <v>654</v>
      </c>
      <c r="D87" t="s">
        <v>543</v>
      </c>
      <c r="E87" t="s">
        <v>551</v>
      </c>
    </row>
    <row r="88" spans="1:5" x14ac:dyDescent="0.25">
      <c r="A88" t="s">
        <v>176</v>
      </c>
      <c r="B88" s="1">
        <v>43325</v>
      </c>
      <c r="C88" t="s">
        <v>651</v>
      </c>
      <c r="D88" t="s">
        <v>543</v>
      </c>
      <c r="E88" t="s">
        <v>544</v>
      </c>
    </row>
    <row r="89" spans="1:5" x14ac:dyDescent="0.25">
      <c r="A89" t="s">
        <v>100</v>
      </c>
      <c r="B89" s="1">
        <v>43243</v>
      </c>
      <c r="C89" t="s">
        <v>655</v>
      </c>
      <c r="D89" t="s">
        <v>593</v>
      </c>
      <c r="E89" t="s">
        <v>576</v>
      </c>
    </row>
    <row r="90" spans="1:5" x14ac:dyDescent="0.25">
      <c r="A90" t="s">
        <v>143</v>
      </c>
      <c r="B90" s="1">
        <v>43233</v>
      </c>
      <c r="C90" t="s">
        <v>644</v>
      </c>
      <c r="D90" t="s">
        <v>546</v>
      </c>
      <c r="E90" t="s">
        <v>578</v>
      </c>
    </row>
    <row r="91" spans="1:5" x14ac:dyDescent="0.25">
      <c r="A91" t="s">
        <v>288</v>
      </c>
      <c r="B91" s="1">
        <v>43329</v>
      </c>
      <c r="C91" t="s">
        <v>656</v>
      </c>
      <c r="D91" t="s">
        <v>537</v>
      </c>
      <c r="E91" t="s">
        <v>607</v>
      </c>
    </row>
    <row r="92" spans="1:5" x14ac:dyDescent="0.25">
      <c r="A92" t="s">
        <v>106</v>
      </c>
      <c r="B92" s="1">
        <v>43173</v>
      </c>
      <c r="C92" t="s">
        <v>657</v>
      </c>
      <c r="D92" t="s">
        <v>546</v>
      </c>
      <c r="E92" t="s">
        <v>547</v>
      </c>
    </row>
    <row r="93" spans="1:5" x14ac:dyDescent="0.25">
      <c r="A93" t="s">
        <v>330</v>
      </c>
      <c r="B93" s="1">
        <v>43402</v>
      </c>
      <c r="C93" t="s">
        <v>640</v>
      </c>
      <c r="D93" t="s">
        <v>546</v>
      </c>
      <c r="E93" t="s">
        <v>547</v>
      </c>
    </row>
    <row r="94" spans="1:5" x14ac:dyDescent="0.25">
      <c r="A94" t="s">
        <v>469</v>
      </c>
      <c r="B94" s="1">
        <v>43278</v>
      </c>
      <c r="C94" t="s">
        <v>658</v>
      </c>
      <c r="D94" t="s">
        <v>543</v>
      </c>
      <c r="E94" t="s">
        <v>544</v>
      </c>
    </row>
    <row r="95" spans="1:5" x14ac:dyDescent="0.25">
      <c r="A95" t="s">
        <v>133</v>
      </c>
      <c r="B95" s="1">
        <v>43113</v>
      </c>
      <c r="C95" t="s">
        <v>610</v>
      </c>
      <c r="D95" t="s">
        <v>546</v>
      </c>
      <c r="E95" t="s">
        <v>547</v>
      </c>
    </row>
    <row r="96" spans="1:5" x14ac:dyDescent="0.25">
      <c r="A96" t="s">
        <v>108</v>
      </c>
      <c r="B96" s="1">
        <v>43242</v>
      </c>
      <c r="C96" t="s">
        <v>659</v>
      </c>
      <c r="D96" t="s">
        <v>575</v>
      </c>
      <c r="E96" t="s">
        <v>576</v>
      </c>
    </row>
    <row r="97" spans="1:5" x14ac:dyDescent="0.25">
      <c r="A97" t="s">
        <v>109</v>
      </c>
      <c r="B97" s="1">
        <v>43251</v>
      </c>
      <c r="C97" t="s">
        <v>660</v>
      </c>
      <c r="D97" t="s">
        <v>546</v>
      </c>
      <c r="E97" t="s">
        <v>578</v>
      </c>
    </row>
    <row r="98" spans="1:5" x14ac:dyDescent="0.25">
      <c r="A98" t="s">
        <v>135</v>
      </c>
      <c r="B98" s="1">
        <v>43226</v>
      </c>
      <c r="C98" t="s">
        <v>661</v>
      </c>
      <c r="D98" t="s">
        <v>543</v>
      </c>
      <c r="E98" t="s">
        <v>544</v>
      </c>
    </row>
    <row r="99" spans="1:5" x14ac:dyDescent="0.25">
      <c r="A99" t="s">
        <v>130</v>
      </c>
      <c r="B99" s="1">
        <v>43131</v>
      </c>
      <c r="C99" t="s">
        <v>662</v>
      </c>
      <c r="D99" t="s">
        <v>595</v>
      </c>
      <c r="E99" t="s">
        <v>596</v>
      </c>
    </row>
    <row r="100" spans="1:5" x14ac:dyDescent="0.25">
      <c r="A100" t="s">
        <v>111</v>
      </c>
      <c r="B100" s="1">
        <v>43409</v>
      </c>
      <c r="C100" t="s">
        <v>663</v>
      </c>
      <c r="D100" t="s">
        <v>647</v>
      </c>
      <c r="E100" t="s">
        <v>647</v>
      </c>
    </row>
    <row r="101" spans="1:5" x14ac:dyDescent="0.25">
      <c r="A101" t="s">
        <v>115</v>
      </c>
      <c r="B101" s="1">
        <v>43441</v>
      </c>
      <c r="C101" t="s">
        <v>663</v>
      </c>
      <c r="D101" t="s">
        <v>595</v>
      </c>
      <c r="E101" t="s">
        <v>596</v>
      </c>
    </row>
    <row r="102" spans="1:5" x14ac:dyDescent="0.25">
      <c r="A102" t="s">
        <v>521</v>
      </c>
      <c r="B102" s="1">
        <v>43383</v>
      </c>
      <c r="C102" t="s">
        <v>664</v>
      </c>
      <c r="D102" t="s">
        <v>543</v>
      </c>
      <c r="E102" t="s">
        <v>544</v>
      </c>
    </row>
    <row r="103" spans="1:5" x14ac:dyDescent="0.25">
      <c r="A103" t="s">
        <v>349</v>
      </c>
      <c r="B103" s="1">
        <v>43394</v>
      </c>
      <c r="C103" t="s">
        <v>665</v>
      </c>
      <c r="D103" t="s">
        <v>546</v>
      </c>
      <c r="E103" t="s">
        <v>547</v>
      </c>
    </row>
    <row r="104" spans="1:5" x14ac:dyDescent="0.25">
      <c r="A104" t="s">
        <v>328</v>
      </c>
      <c r="B104" s="1">
        <v>43114</v>
      </c>
      <c r="C104" t="s">
        <v>666</v>
      </c>
      <c r="D104" t="s">
        <v>559</v>
      </c>
      <c r="E104" t="s">
        <v>566</v>
      </c>
    </row>
    <row r="105" spans="1:5" x14ac:dyDescent="0.25">
      <c r="A105" t="s">
        <v>25</v>
      </c>
      <c r="B105" s="1">
        <v>43272</v>
      </c>
      <c r="C105" t="s">
        <v>667</v>
      </c>
      <c r="D105" t="s">
        <v>598</v>
      </c>
      <c r="E105" t="s">
        <v>599</v>
      </c>
    </row>
    <row r="106" spans="1:5" x14ac:dyDescent="0.25">
      <c r="A106" t="s">
        <v>359</v>
      </c>
      <c r="B106" s="1">
        <v>43216</v>
      </c>
      <c r="C106" t="s">
        <v>608</v>
      </c>
      <c r="D106" t="s">
        <v>543</v>
      </c>
      <c r="E106" t="s">
        <v>551</v>
      </c>
    </row>
    <row r="107" spans="1:5" x14ac:dyDescent="0.25">
      <c r="A107" t="s">
        <v>148</v>
      </c>
      <c r="B107" s="1">
        <v>43323</v>
      </c>
      <c r="C107" t="s">
        <v>668</v>
      </c>
      <c r="D107" t="s">
        <v>546</v>
      </c>
      <c r="E107" t="s">
        <v>578</v>
      </c>
    </row>
    <row r="108" spans="1:5" x14ac:dyDescent="0.25">
      <c r="A108" t="s">
        <v>374</v>
      </c>
      <c r="B108" s="1">
        <v>43444</v>
      </c>
      <c r="C108" t="s">
        <v>669</v>
      </c>
      <c r="D108" t="s">
        <v>540</v>
      </c>
      <c r="E108" t="s">
        <v>540</v>
      </c>
    </row>
    <row r="109" spans="1:5" x14ac:dyDescent="0.25">
      <c r="A109" t="s">
        <v>113</v>
      </c>
      <c r="B109" s="1">
        <v>43411</v>
      </c>
      <c r="C109" t="s">
        <v>670</v>
      </c>
      <c r="D109" t="s">
        <v>554</v>
      </c>
      <c r="E109" t="s">
        <v>555</v>
      </c>
    </row>
    <row r="110" spans="1:5" x14ac:dyDescent="0.25">
      <c r="A110" t="s">
        <v>264</v>
      </c>
      <c r="B110" s="1">
        <v>43128</v>
      </c>
      <c r="C110" t="s">
        <v>671</v>
      </c>
      <c r="D110" t="s">
        <v>540</v>
      </c>
      <c r="E110" t="s">
        <v>540</v>
      </c>
    </row>
    <row r="111" spans="1:5" x14ac:dyDescent="0.25">
      <c r="A111" t="s">
        <v>178</v>
      </c>
      <c r="B111" s="1">
        <v>43442</v>
      </c>
      <c r="C111" t="s">
        <v>672</v>
      </c>
      <c r="D111" t="s">
        <v>537</v>
      </c>
      <c r="E111" t="s">
        <v>549</v>
      </c>
    </row>
    <row r="112" spans="1:5" x14ac:dyDescent="0.25">
      <c r="A112" t="s">
        <v>170</v>
      </c>
      <c r="B112" s="1">
        <v>43424</v>
      </c>
      <c r="C112" t="s">
        <v>673</v>
      </c>
      <c r="D112" t="s">
        <v>554</v>
      </c>
      <c r="E112" t="s">
        <v>555</v>
      </c>
    </row>
    <row r="113" spans="1:5" x14ac:dyDescent="0.25">
      <c r="A113" t="s">
        <v>361</v>
      </c>
      <c r="B113" s="1">
        <v>43157</v>
      </c>
      <c r="C113" t="s">
        <v>674</v>
      </c>
      <c r="D113" t="s">
        <v>575</v>
      </c>
      <c r="E113" t="s">
        <v>576</v>
      </c>
    </row>
    <row r="114" spans="1:5" x14ac:dyDescent="0.25">
      <c r="A114" t="s">
        <v>516</v>
      </c>
      <c r="B114" s="1">
        <v>43247</v>
      </c>
      <c r="C114" t="s">
        <v>675</v>
      </c>
      <c r="D114" t="s">
        <v>584</v>
      </c>
      <c r="E114" t="s">
        <v>585</v>
      </c>
    </row>
    <row r="115" spans="1:5" x14ac:dyDescent="0.25">
      <c r="A115" t="s">
        <v>116</v>
      </c>
      <c r="B115" s="1">
        <v>43190</v>
      </c>
      <c r="C115" t="s">
        <v>676</v>
      </c>
      <c r="D115" t="s">
        <v>546</v>
      </c>
      <c r="E115" t="s">
        <v>547</v>
      </c>
    </row>
    <row r="116" spans="1:5" x14ac:dyDescent="0.25">
      <c r="A116" t="s">
        <v>119</v>
      </c>
      <c r="B116" s="1">
        <v>43227</v>
      </c>
      <c r="C116" t="s">
        <v>657</v>
      </c>
      <c r="D116" t="s">
        <v>546</v>
      </c>
      <c r="E116" t="s">
        <v>547</v>
      </c>
    </row>
    <row r="117" spans="1:5" x14ac:dyDescent="0.25">
      <c r="A117" t="s">
        <v>515</v>
      </c>
      <c r="B117" s="1">
        <v>43121</v>
      </c>
      <c r="C117" t="s">
        <v>677</v>
      </c>
      <c r="D117" t="s">
        <v>575</v>
      </c>
      <c r="E117" t="s">
        <v>638</v>
      </c>
    </row>
    <row r="118" spans="1:5" x14ac:dyDescent="0.25">
      <c r="A118" t="s">
        <v>168</v>
      </c>
      <c r="B118" s="1">
        <v>43146</v>
      </c>
      <c r="C118" t="s">
        <v>678</v>
      </c>
      <c r="D118" t="s">
        <v>537</v>
      </c>
      <c r="E118" t="s">
        <v>607</v>
      </c>
    </row>
    <row r="119" spans="1:5" x14ac:dyDescent="0.25">
      <c r="A119" t="s">
        <v>246</v>
      </c>
      <c r="B119" s="1">
        <v>43240</v>
      </c>
      <c r="C119" t="s">
        <v>679</v>
      </c>
      <c r="D119" t="s">
        <v>568</v>
      </c>
      <c r="E119" t="s">
        <v>569</v>
      </c>
    </row>
    <row r="120" spans="1:5" x14ac:dyDescent="0.25">
      <c r="A120" t="s">
        <v>124</v>
      </c>
      <c r="B120" s="1">
        <v>43153</v>
      </c>
      <c r="C120" t="s">
        <v>680</v>
      </c>
      <c r="D120" t="s">
        <v>618</v>
      </c>
      <c r="E120" t="s">
        <v>619</v>
      </c>
    </row>
    <row r="121" spans="1:5" x14ac:dyDescent="0.25">
      <c r="A121" t="s">
        <v>122</v>
      </c>
      <c r="B121" s="1">
        <v>43167</v>
      </c>
      <c r="C121" t="s">
        <v>681</v>
      </c>
      <c r="D121" t="s">
        <v>598</v>
      </c>
      <c r="E121" t="s">
        <v>599</v>
      </c>
    </row>
    <row r="122" spans="1:5" x14ac:dyDescent="0.25">
      <c r="A122" t="s">
        <v>292</v>
      </c>
      <c r="B122" s="1">
        <v>43136</v>
      </c>
      <c r="C122" t="s">
        <v>682</v>
      </c>
      <c r="D122" t="s">
        <v>540</v>
      </c>
      <c r="E122" t="s">
        <v>540</v>
      </c>
    </row>
    <row r="123" spans="1:5" x14ac:dyDescent="0.25">
      <c r="A123" t="s">
        <v>276</v>
      </c>
      <c r="B123" s="1">
        <v>43357</v>
      </c>
      <c r="C123" t="s">
        <v>683</v>
      </c>
      <c r="D123" t="s">
        <v>559</v>
      </c>
      <c r="E123" t="s">
        <v>566</v>
      </c>
    </row>
    <row r="124" spans="1:5" x14ac:dyDescent="0.25">
      <c r="A124" t="s">
        <v>341</v>
      </c>
      <c r="B124" s="1">
        <v>43340</v>
      </c>
      <c r="C124" t="s">
        <v>684</v>
      </c>
      <c r="D124" t="s">
        <v>543</v>
      </c>
      <c r="E124" t="s">
        <v>551</v>
      </c>
    </row>
    <row r="125" spans="1:5" x14ac:dyDescent="0.25">
      <c r="A125" t="s">
        <v>172</v>
      </c>
      <c r="B125" s="1">
        <v>43378</v>
      </c>
      <c r="C125" t="s">
        <v>685</v>
      </c>
      <c r="D125" t="s">
        <v>546</v>
      </c>
      <c r="E125" t="s">
        <v>547</v>
      </c>
    </row>
    <row r="126" spans="1:5" x14ac:dyDescent="0.25">
      <c r="A126" t="s">
        <v>125</v>
      </c>
      <c r="B126" s="1">
        <v>43111</v>
      </c>
      <c r="C126" t="s">
        <v>686</v>
      </c>
      <c r="D126" t="s">
        <v>546</v>
      </c>
      <c r="E126" t="s">
        <v>547</v>
      </c>
    </row>
    <row r="127" spans="1:5" x14ac:dyDescent="0.25">
      <c r="A127" t="s">
        <v>126</v>
      </c>
      <c r="B127" s="1">
        <v>43185</v>
      </c>
      <c r="C127" t="s">
        <v>648</v>
      </c>
      <c r="D127" t="s">
        <v>593</v>
      </c>
      <c r="E127" t="s">
        <v>576</v>
      </c>
    </row>
    <row r="128" spans="1:5" x14ac:dyDescent="0.25">
      <c r="A128" t="s">
        <v>48</v>
      </c>
      <c r="B128" s="1">
        <v>43407</v>
      </c>
      <c r="C128" t="s">
        <v>687</v>
      </c>
      <c r="D128" t="s">
        <v>580</v>
      </c>
      <c r="E128" t="s">
        <v>581</v>
      </c>
    </row>
    <row r="129" spans="1:5" x14ac:dyDescent="0.25">
      <c r="A129" t="s">
        <v>514</v>
      </c>
      <c r="B129" s="1">
        <v>43386</v>
      </c>
      <c r="C129" t="s">
        <v>688</v>
      </c>
      <c r="D129" t="s">
        <v>543</v>
      </c>
      <c r="E129" t="s">
        <v>544</v>
      </c>
    </row>
    <row r="130" spans="1:5" x14ac:dyDescent="0.25">
      <c r="A130" t="s">
        <v>179</v>
      </c>
      <c r="B130" s="1">
        <v>43113</v>
      </c>
      <c r="C130" t="s">
        <v>689</v>
      </c>
      <c r="D130" t="s">
        <v>618</v>
      </c>
      <c r="E130" t="s">
        <v>619</v>
      </c>
    </row>
    <row r="131" spans="1:5" x14ac:dyDescent="0.25">
      <c r="A131" t="s">
        <v>136</v>
      </c>
      <c r="B131" s="1">
        <v>43122</v>
      </c>
      <c r="C131" t="s">
        <v>690</v>
      </c>
      <c r="D131" t="s">
        <v>543</v>
      </c>
      <c r="E131" t="s">
        <v>544</v>
      </c>
    </row>
    <row r="132" spans="1:5" x14ac:dyDescent="0.25">
      <c r="A132" t="s">
        <v>140</v>
      </c>
      <c r="B132" s="1">
        <v>43428</v>
      </c>
      <c r="C132" t="s">
        <v>691</v>
      </c>
      <c r="D132" t="s">
        <v>543</v>
      </c>
      <c r="E132" t="s">
        <v>544</v>
      </c>
    </row>
    <row r="133" spans="1:5" x14ac:dyDescent="0.25">
      <c r="A133" t="s">
        <v>207</v>
      </c>
      <c r="B133" s="1">
        <v>43169</v>
      </c>
      <c r="C133" t="s">
        <v>692</v>
      </c>
      <c r="D133" t="s">
        <v>580</v>
      </c>
      <c r="E133" t="s">
        <v>581</v>
      </c>
    </row>
    <row r="134" spans="1:5" x14ac:dyDescent="0.25">
      <c r="A134" t="s">
        <v>146</v>
      </c>
      <c r="B134" s="1">
        <v>43432</v>
      </c>
      <c r="C134" t="s">
        <v>693</v>
      </c>
      <c r="D134" t="s">
        <v>546</v>
      </c>
      <c r="E134" t="s">
        <v>547</v>
      </c>
    </row>
    <row r="135" spans="1:5" x14ac:dyDescent="0.25">
      <c r="A135" t="s">
        <v>185</v>
      </c>
      <c r="B135" s="1">
        <v>43440</v>
      </c>
      <c r="C135" t="s">
        <v>564</v>
      </c>
      <c r="D135" t="s">
        <v>546</v>
      </c>
      <c r="E135" t="s">
        <v>547</v>
      </c>
    </row>
    <row r="136" spans="1:5" x14ac:dyDescent="0.25">
      <c r="A136" t="s">
        <v>36</v>
      </c>
      <c r="B136" s="1">
        <v>43332</v>
      </c>
      <c r="C136" t="s">
        <v>592</v>
      </c>
      <c r="D136" t="s">
        <v>543</v>
      </c>
      <c r="E136" t="s">
        <v>544</v>
      </c>
    </row>
    <row r="137" spans="1:5" x14ac:dyDescent="0.25">
      <c r="A137" t="s">
        <v>513</v>
      </c>
      <c r="B137" s="1">
        <v>43418</v>
      </c>
      <c r="C137" t="s">
        <v>694</v>
      </c>
      <c r="D137" t="s">
        <v>546</v>
      </c>
      <c r="E137" t="s">
        <v>547</v>
      </c>
    </row>
    <row r="138" spans="1:5" x14ac:dyDescent="0.25">
      <c r="A138" t="s">
        <v>150</v>
      </c>
      <c r="B138" s="1">
        <v>43267</v>
      </c>
      <c r="C138" t="s">
        <v>695</v>
      </c>
      <c r="D138" t="s">
        <v>543</v>
      </c>
      <c r="E138" t="s">
        <v>544</v>
      </c>
    </row>
    <row r="139" spans="1:5" x14ac:dyDescent="0.25">
      <c r="A139" t="s">
        <v>189</v>
      </c>
      <c r="B139" s="1">
        <v>43216</v>
      </c>
      <c r="C139" t="s">
        <v>696</v>
      </c>
      <c r="D139" t="s">
        <v>697</v>
      </c>
      <c r="E139" t="s">
        <v>698</v>
      </c>
    </row>
    <row r="140" spans="1:5" x14ac:dyDescent="0.25">
      <c r="A140" t="s">
        <v>152</v>
      </c>
      <c r="B140" s="1">
        <v>43282</v>
      </c>
      <c r="C140" t="s">
        <v>699</v>
      </c>
      <c r="D140" t="s">
        <v>546</v>
      </c>
      <c r="E140" t="s">
        <v>547</v>
      </c>
    </row>
    <row r="141" spans="1:5" x14ac:dyDescent="0.25">
      <c r="A141" t="s">
        <v>154</v>
      </c>
      <c r="B141" s="1">
        <v>43400</v>
      </c>
      <c r="C141" t="s">
        <v>641</v>
      </c>
      <c r="D141" t="s">
        <v>697</v>
      </c>
      <c r="E141" t="s">
        <v>698</v>
      </c>
    </row>
    <row r="142" spans="1:5" x14ac:dyDescent="0.25">
      <c r="A142" t="s">
        <v>269</v>
      </c>
      <c r="B142" s="1">
        <v>43414</v>
      </c>
      <c r="C142" t="s">
        <v>621</v>
      </c>
      <c r="D142" t="s">
        <v>543</v>
      </c>
      <c r="E142" t="s">
        <v>544</v>
      </c>
    </row>
    <row r="143" spans="1:5" x14ac:dyDescent="0.25">
      <c r="A143" t="s">
        <v>202</v>
      </c>
      <c r="B143" s="1">
        <v>43438</v>
      </c>
      <c r="C143" t="s">
        <v>556</v>
      </c>
      <c r="D143" t="s">
        <v>537</v>
      </c>
      <c r="E143" t="s">
        <v>538</v>
      </c>
    </row>
    <row r="144" spans="1:5" x14ac:dyDescent="0.25">
      <c r="A144" t="s">
        <v>157</v>
      </c>
      <c r="B144" s="1">
        <v>43118</v>
      </c>
      <c r="C144" t="s">
        <v>700</v>
      </c>
      <c r="D144" t="s">
        <v>546</v>
      </c>
      <c r="E144" t="s">
        <v>547</v>
      </c>
    </row>
    <row r="145" spans="1:5" x14ac:dyDescent="0.25">
      <c r="A145" t="s">
        <v>192</v>
      </c>
      <c r="B145" s="1">
        <v>43137</v>
      </c>
      <c r="C145" t="s">
        <v>701</v>
      </c>
      <c r="D145" t="s">
        <v>540</v>
      </c>
      <c r="E145" t="s">
        <v>540</v>
      </c>
    </row>
    <row r="146" spans="1:5" x14ac:dyDescent="0.25">
      <c r="A146" t="s">
        <v>61</v>
      </c>
      <c r="B146" s="1">
        <v>43187</v>
      </c>
      <c r="C146" t="s">
        <v>702</v>
      </c>
      <c r="D146" t="s">
        <v>598</v>
      </c>
      <c r="E146" t="s">
        <v>599</v>
      </c>
    </row>
    <row r="147" spans="1:5" x14ac:dyDescent="0.25">
      <c r="A147" t="s">
        <v>252</v>
      </c>
      <c r="B147" s="1">
        <v>43321</v>
      </c>
      <c r="C147" t="s">
        <v>665</v>
      </c>
      <c r="D147" t="s">
        <v>559</v>
      </c>
      <c r="E147" t="s">
        <v>566</v>
      </c>
    </row>
    <row r="148" spans="1:5" x14ac:dyDescent="0.25">
      <c r="A148" t="s">
        <v>510</v>
      </c>
      <c r="B148" s="1">
        <v>43125</v>
      </c>
      <c r="C148" t="s">
        <v>703</v>
      </c>
      <c r="D148" t="s">
        <v>595</v>
      </c>
      <c r="E148" t="s">
        <v>596</v>
      </c>
    </row>
    <row r="149" spans="1:5" x14ac:dyDescent="0.25">
      <c r="A149" t="s">
        <v>155</v>
      </c>
      <c r="B149" s="1">
        <v>43245</v>
      </c>
      <c r="C149" t="s">
        <v>704</v>
      </c>
      <c r="D149" t="s">
        <v>647</v>
      </c>
      <c r="E149" t="s">
        <v>647</v>
      </c>
    </row>
    <row r="150" spans="1:5" x14ac:dyDescent="0.25">
      <c r="A150" t="s">
        <v>214</v>
      </c>
      <c r="B150" s="1">
        <v>43407</v>
      </c>
      <c r="C150" t="s">
        <v>564</v>
      </c>
      <c r="D150" t="s">
        <v>571</v>
      </c>
      <c r="E150" t="s">
        <v>572</v>
      </c>
    </row>
    <row r="151" spans="1:5" x14ac:dyDescent="0.25">
      <c r="A151" t="s">
        <v>159</v>
      </c>
      <c r="B151" s="1">
        <v>43436</v>
      </c>
      <c r="C151" t="s">
        <v>564</v>
      </c>
      <c r="D151" t="s">
        <v>575</v>
      </c>
      <c r="E151" t="s">
        <v>638</v>
      </c>
    </row>
    <row r="152" spans="1:5" x14ac:dyDescent="0.25">
      <c r="A152" t="s">
        <v>220</v>
      </c>
      <c r="B152" s="1">
        <v>43108</v>
      </c>
      <c r="C152" t="s">
        <v>705</v>
      </c>
      <c r="D152" t="s">
        <v>554</v>
      </c>
      <c r="E152" t="s">
        <v>555</v>
      </c>
    </row>
    <row r="153" spans="1:5" x14ac:dyDescent="0.25">
      <c r="A153" t="s">
        <v>162</v>
      </c>
      <c r="B153" s="1">
        <v>43407</v>
      </c>
      <c r="C153" t="s">
        <v>706</v>
      </c>
      <c r="D153" t="s">
        <v>593</v>
      </c>
      <c r="E153" t="s">
        <v>576</v>
      </c>
    </row>
    <row r="154" spans="1:5" x14ac:dyDescent="0.25">
      <c r="A154" t="s">
        <v>505</v>
      </c>
      <c r="B154" s="1">
        <v>43216</v>
      </c>
      <c r="C154" t="s">
        <v>707</v>
      </c>
      <c r="D154" t="s">
        <v>543</v>
      </c>
      <c r="E154" t="s">
        <v>544</v>
      </c>
    </row>
    <row r="155" spans="1:5" x14ac:dyDescent="0.25">
      <c r="A155" t="s">
        <v>508</v>
      </c>
      <c r="B155" s="1">
        <v>43395</v>
      </c>
      <c r="C155" t="s">
        <v>708</v>
      </c>
      <c r="D155" t="s">
        <v>543</v>
      </c>
      <c r="E155" t="s">
        <v>544</v>
      </c>
    </row>
    <row r="156" spans="1:5" x14ac:dyDescent="0.25">
      <c r="A156" t="s">
        <v>200</v>
      </c>
      <c r="B156" s="1">
        <v>43181</v>
      </c>
      <c r="C156" t="s">
        <v>611</v>
      </c>
      <c r="D156" t="s">
        <v>612</v>
      </c>
      <c r="E156" t="s">
        <v>613</v>
      </c>
    </row>
    <row r="157" spans="1:5" x14ac:dyDescent="0.25">
      <c r="A157" t="s">
        <v>298</v>
      </c>
      <c r="B157" s="1">
        <v>43213</v>
      </c>
      <c r="C157" t="s">
        <v>709</v>
      </c>
      <c r="D157" t="s">
        <v>627</v>
      </c>
      <c r="E157" t="s">
        <v>628</v>
      </c>
    </row>
    <row r="158" spans="1:5" x14ac:dyDescent="0.25">
      <c r="A158" t="s">
        <v>371</v>
      </c>
      <c r="B158" s="1">
        <v>43378</v>
      </c>
      <c r="C158" t="s">
        <v>710</v>
      </c>
      <c r="D158" t="s">
        <v>543</v>
      </c>
      <c r="E158" t="s">
        <v>544</v>
      </c>
    </row>
    <row r="159" spans="1:5" x14ac:dyDescent="0.25">
      <c r="A159" t="s">
        <v>112</v>
      </c>
      <c r="B159" s="1">
        <v>43269</v>
      </c>
      <c r="C159" t="s">
        <v>711</v>
      </c>
      <c r="D159" t="s">
        <v>546</v>
      </c>
      <c r="E159" t="s">
        <v>578</v>
      </c>
    </row>
    <row r="160" spans="1:5" x14ac:dyDescent="0.25">
      <c r="A160" t="s">
        <v>163</v>
      </c>
      <c r="B160" s="1">
        <v>43367</v>
      </c>
      <c r="C160" t="s">
        <v>712</v>
      </c>
      <c r="D160" t="s">
        <v>543</v>
      </c>
      <c r="E160" t="s">
        <v>544</v>
      </c>
    </row>
    <row r="161" spans="1:5" x14ac:dyDescent="0.25">
      <c r="A161" t="s">
        <v>507</v>
      </c>
      <c r="B161" s="1">
        <v>43379</v>
      </c>
      <c r="C161" t="s">
        <v>713</v>
      </c>
      <c r="D161" t="s">
        <v>546</v>
      </c>
      <c r="E161" t="s">
        <v>547</v>
      </c>
    </row>
    <row r="162" spans="1:5" x14ac:dyDescent="0.25">
      <c r="A162" t="s">
        <v>62</v>
      </c>
      <c r="B162" s="1">
        <v>43286</v>
      </c>
      <c r="C162" t="s">
        <v>714</v>
      </c>
      <c r="D162" t="s">
        <v>543</v>
      </c>
      <c r="E162" t="s">
        <v>551</v>
      </c>
    </row>
    <row r="163" spans="1:5" x14ac:dyDescent="0.25">
      <c r="A163" t="s">
        <v>518</v>
      </c>
      <c r="B163" s="1">
        <v>43245</v>
      </c>
      <c r="C163" t="s">
        <v>715</v>
      </c>
      <c r="D163" t="s">
        <v>697</v>
      </c>
      <c r="E163" t="s">
        <v>698</v>
      </c>
    </row>
    <row r="164" spans="1:5" x14ac:dyDescent="0.25">
      <c r="A164" t="s">
        <v>291</v>
      </c>
      <c r="B164" s="1">
        <v>43414</v>
      </c>
      <c r="C164" t="s">
        <v>716</v>
      </c>
      <c r="D164" t="s">
        <v>546</v>
      </c>
      <c r="E164" t="s">
        <v>547</v>
      </c>
    </row>
    <row r="165" spans="1:5" x14ac:dyDescent="0.25">
      <c r="A165" t="s">
        <v>166</v>
      </c>
      <c r="B165" s="1">
        <v>43358</v>
      </c>
      <c r="C165" t="s">
        <v>651</v>
      </c>
      <c r="D165" t="s">
        <v>618</v>
      </c>
      <c r="E165" t="s">
        <v>619</v>
      </c>
    </row>
    <row r="166" spans="1:5" x14ac:dyDescent="0.25">
      <c r="A166" t="s">
        <v>165</v>
      </c>
      <c r="B166" s="1">
        <v>43103</v>
      </c>
      <c r="C166" t="s">
        <v>717</v>
      </c>
      <c r="D166" t="s">
        <v>575</v>
      </c>
      <c r="E166" t="s">
        <v>576</v>
      </c>
    </row>
    <row r="167" spans="1:5" x14ac:dyDescent="0.25">
      <c r="A167" t="s">
        <v>167</v>
      </c>
      <c r="B167" s="1">
        <v>43168</v>
      </c>
      <c r="C167" t="s">
        <v>653</v>
      </c>
      <c r="D167" t="s">
        <v>627</v>
      </c>
      <c r="E167" t="s">
        <v>628</v>
      </c>
    </row>
    <row r="168" spans="1:5" x14ac:dyDescent="0.25">
      <c r="A168" t="s">
        <v>169</v>
      </c>
      <c r="B168" s="1">
        <v>43177</v>
      </c>
      <c r="C168" t="s">
        <v>591</v>
      </c>
      <c r="D168" t="s">
        <v>598</v>
      </c>
      <c r="E168" t="s">
        <v>599</v>
      </c>
    </row>
    <row r="169" spans="1:5" x14ac:dyDescent="0.25">
      <c r="A169" t="s">
        <v>222</v>
      </c>
      <c r="B169" s="1">
        <v>43367</v>
      </c>
      <c r="C169" t="s">
        <v>718</v>
      </c>
      <c r="D169" t="s">
        <v>580</v>
      </c>
      <c r="E169" t="s">
        <v>581</v>
      </c>
    </row>
    <row r="170" spans="1:5" x14ac:dyDescent="0.25">
      <c r="A170" t="s">
        <v>223</v>
      </c>
      <c r="B170" s="1">
        <v>43130</v>
      </c>
      <c r="C170" t="s">
        <v>719</v>
      </c>
      <c r="D170" t="s">
        <v>540</v>
      </c>
      <c r="E170" t="s">
        <v>540</v>
      </c>
    </row>
    <row r="171" spans="1:5" x14ac:dyDescent="0.25">
      <c r="A171" t="s">
        <v>300</v>
      </c>
      <c r="B171" s="1">
        <v>43127</v>
      </c>
      <c r="C171" t="s">
        <v>720</v>
      </c>
      <c r="D171" t="s">
        <v>546</v>
      </c>
      <c r="E171" t="s">
        <v>547</v>
      </c>
    </row>
    <row r="172" spans="1:5" x14ac:dyDescent="0.25">
      <c r="A172" t="s">
        <v>273</v>
      </c>
      <c r="B172" s="1">
        <v>43169</v>
      </c>
      <c r="C172" t="s">
        <v>721</v>
      </c>
      <c r="D172" t="s">
        <v>543</v>
      </c>
      <c r="E172" t="s">
        <v>544</v>
      </c>
    </row>
    <row r="173" spans="1:5" x14ac:dyDescent="0.25">
      <c r="A173" t="s">
        <v>174</v>
      </c>
      <c r="B173" s="1">
        <v>43181</v>
      </c>
      <c r="C173" t="s">
        <v>722</v>
      </c>
      <c r="D173" t="s">
        <v>618</v>
      </c>
      <c r="E173" t="s">
        <v>619</v>
      </c>
    </row>
    <row r="174" spans="1:5" x14ac:dyDescent="0.25">
      <c r="A174" t="s">
        <v>144</v>
      </c>
      <c r="B174" s="1">
        <v>43363</v>
      </c>
      <c r="C174" t="s">
        <v>723</v>
      </c>
      <c r="D174" t="s">
        <v>627</v>
      </c>
      <c r="E174" t="s">
        <v>628</v>
      </c>
    </row>
    <row r="175" spans="1:5" x14ac:dyDescent="0.25">
      <c r="A175" t="s">
        <v>175</v>
      </c>
      <c r="B175" s="1">
        <v>43258</v>
      </c>
      <c r="C175" t="s">
        <v>639</v>
      </c>
      <c r="D175" t="s">
        <v>568</v>
      </c>
      <c r="E175" t="s">
        <v>569</v>
      </c>
    </row>
    <row r="176" spans="1:5" x14ac:dyDescent="0.25">
      <c r="A176" t="s">
        <v>177</v>
      </c>
      <c r="B176" s="1">
        <v>43119</v>
      </c>
      <c r="C176" t="s">
        <v>724</v>
      </c>
      <c r="D176" t="s">
        <v>543</v>
      </c>
      <c r="E176" t="s">
        <v>551</v>
      </c>
    </row>
    <row r="177" spans="1:5" x14ac:dyDescent="0.25">
      <c r="A177" t="s">
        <v>141</v>
      </c>
      <c r="B177" s="1">
        <v>43326</v>
      </c>
      <c r="C177" t="s">
        <v>725</v>
      </c>
      <c r="D177" t="s">
        <v>546</v>
      </c>
      <c r="E177" t="s">
        <v>547</v>
      </c>
    </row>
    <row r="178" spans="1:5" x14ac:dyDescent="0.25">
      <c r="A178" t="s">
        <v>180</v>
      </c>
      <c r="B178" s="1">
        <v>43397</v>
      </c>
      <c r="C178" t="s">
        <v>726</v>
      </c>
      <c r="D178" t="s">
        <v>575</v>
      </c>
      <c r="E178" t="s">
        <v>576</v>
      </c>
    </row>
    <row r="179" spans="1:5" x14ac:dyDescent="0.25">
      <c r="A179" t="s">
        <v>495</v>
      </c>
      <c r="B179" s="1">
        <v>43212</v>
      </c>
      <c r="C179" t="s">
        <v>727</v>
      </c>
      <c r="D179" t="s">
        <v>595</v>
      </c>
      <c r="E179" t="s">
        <v>635</v>
      </c>
    </row>
    <row r="180" spans="1:5" x14ac:dyDescent="0.25">
      <c r="A180" t="s">
        <v>262</v>
      </c>
      <c r="B180" s="1">
        <v>43326</v>
      </c>
      <c r="C180" t="s">
        <v>728</v>
      </c>
      <c r="D180" t="s">
        <v>543</v>
      </c>
      <c r="E180" t="s">
        <v>544</v>
      </c>
    </row>
    <row r="181" spans="1:5" x14ac:dyDescent="0.25">
      <c r="A181" t="s">
        <v>461</v>
      </c>
      <c r="B181" s="1">
        <v>43261</v>
      </c>
      <c r="C181" t="s">
        <v>603</v>
      </c>
      <c r="D181" t="s">
        <v>546</v>
      </c>
      <c r="E181" t="s">
        <v>547</v>
      </c>
    </row>
    <row r="182" spans="1:5" x14ac:dyDescent="0.25">
      <c r="A182" t="s">
        <v>299</v>
      </c>
      <c r="B182" s="1">
        <v>43142</v>
      </c>
      <c r="C182" t="s">
        <v>729</v>
      </c>
      <c r="D182" t="s">
        <v>568</v>
      </c>
      <c r="E182" t="s">
        <v>569</v>
      </c>
    </row>
    <row r="183" spans="1:5" x14ac:dyDescent="0.25">
      <c r="A183" t="s">
        <v>231</v>
      </c>
      <c r="B183" s="1">
        <v>43154</v>
      </c>
      <c r="C183" t="s">
        <v>709</v>
      </c>
      <c r="D183" t="s">
        <v>627</v>
      </c>
      <c r="E183" t="s">
        <v>628</v>
      </c>
    </row>
    <row r="184" spans="1:5" x14ac:dyDescent="0.25">
      <c r="A184" t="s">
        <v>182</v>
      </c>
      <c r="B184" s="1">
        <v>43274</v>
      </c>
      <c r="C184" t="s">
        <v>730</v>
      </c>
      <c r="D184" t="s">
        <v>612</v>
      </c>
      <c r="E184" t="s">
        <v>613</v>
      </c>
    </row>
    <row r="185" spans="1:5" x14ac:dyDescent="0.25">
      <c r="A185" t="s">
        <v>232</v>
      </c>
      <c r="B185" s="1">
        <v>43121</v>
      </c>
      <c r="C185" t="s">
        <v>731</v>
      </c>
      <c r="D185" t="s">
        <v>595</v>
      </c>
      <c r="E185" t="s">
        <v>596</v>
      </c>
    </row>
    <row r="186" spans="1:5" x14ac:dyDescent="0.25">
      <c r="A186" t="s">
        <v>183</v>
      </c>
      <c r="B186" s="1">
        <v>43401</v>
      </c>
      <c r="C186" t="s">
        <v>732</v>
      </c>
      <c r="D186" t="s">
        <v>543</v>
      </c>
      <c r="E186" t="s">
        <v>544</v>
      </c>
    </row>
    <row r="187" spans="1:5" x14ac:dyDescent="0.25">
      <c r="A187" t="s">
        <v>224</v>
      </c>
      <c r="B187" s="1">
        <v>43319</v>
      </c>
      <c r="C187" t="s">
        <v>733</v>
      </c>
      <c r="D187" t="s">
        <v>584</v>
      </c>
      <c r="E187" t="s">
        <v>585</v>
      </c>
    </row>
    <row r="188" spans="1:5" x14ac:dyDescent="0.25">
      <c r="A188" t="s">
        <v>184</v>
      </c>
      <c r="B188" s="1">
        <v>43432</v>
      </c>
      <c r="C188" t="s">
        <v>734</v>
      </c>
      <c r="D188" t="s">
        <v>595</v>
      </c>
      <c r="E188" t="s">
        <v>596</v>
      </c>
    </row>
    <row r="189" spans="1:5" x14ac:dyDescent="0.25">
      <c r="A189" t="s">
        <v>500</v>
      </c>
      <c r="B189" s="1">
        <v>43125</v>
      </c>
      <c r="C189" t="s">
        <v>610</v>
      </c>
      <c r="D189" t="s">
        <v>537</v>
      </c>
      <c r="E189" t="s">
        <v>549</v>
      </c>
    </row>
    <row r="190" spans="1:5" x14ac:dyDescent="0.25">
      <c r="A190" t="s">
        <v>128</v>
      </c>
      <c r="B190" s="1">
        <v>43188</v>
      </c>
      <c r="C190" t="s">
        <v>709</v>
      </c>
      <c r="D190" t="s">
        <v>627</v>
      </c>
      <c r="E190" t="s">
        <v>628</v>
      </c>
    </row>
    <row r="191" spans="1:5" x14ac:dyDescent="0.25">
      <c r="A191" t="s">
        <v>440</v>
      </c>
      <c r="B191" s="1">
        <v>43203</v>
      </c>
      <c r="C191" t="s">
        <v>735</v>
      </c>
      <c r="D191" t="s">
        <v>571</v>
      </c>
      <c r="E191" t="s">
        <v>572</v>
      </c>
    </row>
    <row r="192" spans="1:5" x14ac:dyDescent="0.25">
      <c r="A192" t="s">
        <v>497</v>
      </c>
      <c r="B192" s="1">
        <v>43302</v>
      </c>
      <c r="C192" t="s">
        <v>736</v>
      </c>
      <c r="D192" t="s">
        <v>543</v>
      </c>
      <c r="E192" t="s">
        <v>544</v>
      </c>
    </row>
    <row r="193" spans="1:5" x14ac:dyDescent="0.25">
      <c r="A193" t="s">
        <v>230</v>
      </c>
      <c r="B193" s="1">
        <v>43165</v>
      </c>
      <c r="C193" t="s">
        <v>737</v>
      </c>
      <c r="D193" t="s">
        <v>595</v>
      </c>
      <c r="E193" t="s">
        <v>635</v>
      </c>
    </row>
    <row r="194" spans="1:5" x14ac:dyDescent="0.25">
      <c r="A194" t="s">
        <v>190</v>
      </c>
      <c r="B194" s="1">
        <v>43199</v>
      </c>
      <c r="C194" t="s">
        <v>678</v>
      </c>
      <c r="D194" t="s">
        <v>537</v>
      </c>
      <c r="E194" t="s">
        <v>607</v>
      </c>
    </row>
    <row r="195" spans="1:5" x14ac:dyDescent="0.25">
      <c r="A195" t="s">
        <v>242</v>
      </c>
      <c r="B195" s="1">
        <v>43315</v>
      </c>
      <c r="C195" t="s">
        <v>738</v>
      </c>
      <c r="D195" t="s">
        <v>546</v>
      </c>
      <c r="E195" t="s">
        <v>547</v>
      </c>
    </row>
    <row r="196" spans="1:5" x14ac:dyDescent="0.25">
      <c r="A196" t="s">
        <v>394</v>
      </c>
      <c r="B196" s="1">
        <v>43117</v>
      </c>
      <c r="C196" t="s">
        <v>660</v>
      </c>
      <c r="D196" t="s">
        <v>543</v>
      </c>
      <c r="E196" t="s">
        <v>544</v>
      </c>
    </row>
    <row r="197" spans="1:5" x14ac:dyDescent="0.25">
      <c r="A197" t="s">
        <v>203</v>
      </c>
      <c r="B197" s="1">
        <v>43265</v>
      </c>
      <c r="C197" t="s">
        <v>739</v>
      </c>
      <c r="D197" t="s">
        <v>543</v>
      </c>
      <c r="E197" t="s">
        <v>544</v>
      </c>
    </row>
    <row r="198" spans="1:5" x14ac:dyDescent="0.25">
      <c r="A198" t="s">
        <v>408</v>
      </c>
      <c r="B198" s="1">
        <v>43105</v>
      </c>
      <c r="C198" t="s">
        <v>740</v>
      </c>
      <c r="D198" t="s">
        <v>697</v>
      </c>
      <c r="E198" t="s">
        <v>698</v>
      </c>
    </row>
    <row r="199" spans="1:5" x14ac:dyDescent="0.25">
      <c r="A199" t="s">
        <v>522</v>
      </c>
      <c r="B199" s="1">
        <v>43438</v>
      </c>
      <c r="C199" t="s">
        <v>741</v>
      </c>
      <c r="D199" t="s">
        <v>543</v>
      </c>
      <c r="E199" t="s">
        <v>544</v>
      </c>
    </row>
    <row r="200" spans="1:5" x14ac:dyDescent="0.25">
      <c r="A200" t="s">
        <v>392</v>
      </c>
      <c r="B200" s="1">
        <v>43383</v>
      </c>
      <c r="C200" t="s">
        <v>669</v>
      </c>
      <c r="D200" t="s">
        <v>546</v>
      </c>
      <c r="E200" t="s">
        <v>547</v>
      </c>
    </row>
    <row r="201" spans="1:5" x14ac:dyDescent="0.25">
      <c r="A201" t="s">
        <v>486</v>
      </c>
      <c r="B201" s="1">
        <v>43293</v>
      </c>
      <c r="C201" t="s">
        <v>655</v>
      </c>
      <c r="D201" t="s">
        <v>543</v>
      </c>
      <c r="E201" t="s">
        <v>544</v>
      </c>
    </row>
    <row r="202" spans="1:5" x14ac:dyDescent="0.25">
      <c r="A202" t="s">
        <v>401</v>
      </c>
      <c r="B202" s="1">
        <v>43452</v>
      </c>
      <c r="C202" t="s">
        <v>742</v>
      </c>
      <c r="D202" t="s">
        <v>540</v>
      </c>
      <c r="E202" t="s">
        <v>540</v>
      </c>
    </row>
    <row r="203" spans="1:5" x14ac:dyDescent="0.25">
      <c r="A203" t="s">
        <v>134</v>
      </c>
      <c r="B203" s="1">
        <v>43444</v>
      </c>
      <c r="C203" t="s">
        <v>743</v>
      </c>
      <c r="D203" t="s">
        <v>546</v>
      </c>
      <c r="E203" t="s">
        <v>547</v>
      </c>
    </row>
    <row r="204" spans="1:5" x14ac:dyDescent="0.25">
      <c r="A204" t="s">
        <v>243</v>
      </c>
      <c r="B204" s="1">
        <v>43187</v>
      </c>
      <c r="C204" t="s">
        <v>680</v>
      </c>
      <c r="D204" t="s">
        <v>618</v>
      </c>
      <c r="E204" t="s">
        <v>619</v>
      </c>
    </row>
    <row r="205" spans="1:5" x14ac:dyDescent="0.25">
      <c r="A205" t="s">
        <v>205</v>
      </c>
      <c r="B205" s="1">
        <v>43230</v>
      </c>
      <c r="C205" t="s">
        <v>744</v>
      </c>
      <c r="D205" t="s">
        <v>543</v>
      </c>
      <c r="E205" t="s">
        <v>544</v>
      </c>
    </row>
    <row r="206" spans="1:5" x14ac:dyDescent="0.25">
      <c r="A206" t="s">
        <v>294</v>
      </c>
      <c r="B206" s="1">
        <v>43180</v>
      </c>
      <c r="C206" t="s">
        <v>616</v>
      </c>
      <c r="D206" t="s">
        <v>546</v>
      </c>
      <c r="E206" t="s">
        <v>578</v>
      </c>
    </row>
    <row r="207" spans="1:5" x14ac:dyDescent="0.25">
      <c r="A207" t="s">
        <v>209</v>
      </c>
      <c r="B207" s="1">
        <v>43118</v>
      </c>
      <c r="C207" t="s">
        <v>745</v>
      </c>
      <c r="D207" t="s">
        <v>559</v>
      </c>
      <c r="E207" t="s">
        <v>566</v>
      </c>
    </row>
    <row r="208" spans="1:5" x14ac:dyDescent="0.25">
      <c r="A208" t="s">
        <v>234</v>
      </c>
      <c r="B208" s="1">
        <v>43412</v>
      </c>
      <c r="C208" t="s">
        <v>701</v>
      </c>
      <c r="D208" t="s">
        <v>543</v>
      </c>
      <c r="E208" t="s">
        <v>551</v>
      </c>
    </row>
    <row r="209" spans="1:5" x14ac:dyDescent="0.25">
      <c r="A209" t="s">
        <v>247</v>
      </c>
      <c r="B209" s="1">
        <v>43218</v>
      </c>
      <c r="C209" t="s">
        <v>681</v>
      </c>
      <c r="D209" t="s">
        <v>598</v>
      </c>
      <c r="E209" t="s">
        <v>599</v>
      </c>
    </row>
    <row r="210" spans="1:5" x14ac:dyDescent="0.25">
      <c r="A210" t="s">
        <v>400</v>
      </c>
      <c r="B210" s="1">
        <v>43259</v>
      </c>
      <c r="C210" t="s">
        <v>660</v>
      </c>
      <c r="D210" t="s">
        <v>580</v>
      </c>
      <c r="E210" t="s">
        <v>581</v>
      </c>
    </row>
    <row r="211" spans="1:5" x14ac:dyDescent="0.25">
      <c r="A211" t="s">
        <v>212</v>
      </c>
      <c r="B211" s="1">
        <v>43145</v>
      </c>
      <c r="C211" t="s">
        <v>746</v>
      </c>
      <c r="D211" t="s">
        <v>598</v>
      </c>
      <c r="E211" t="s">
        <v>599</v>
      </c>
    </row>
    <row r="212" spans="1:5" x14ac:dyDescent="0.25">
      <c r="A212" t="s">
        <v>492</v>
      </c>
      <c r="B212" s="1">
        <v>43154</v>
      </c>
      <c r="C212" t="s">
        <v>702</v>
      </c>
      <c r="D212" t="s">
        <v>598</v>
      </c>
      <c r="E212" t="s">
        <v>599</v>
      </c>
    </row>
    <row r="213" spans="1:5" x14ac:dyDescent="0.25">
      <c r="A213" t="s">
        <v>211</v>
      </c>
      <c r="B213" s="1">
        <v>43169</v>
      </c>
      <c r="C213" t="s">
        <v>747</v>
      </c>
      <c r="D213" t="s">
        <v>568</v>
      </c>
      <c r="E213" t="s">
        <v>569</v>
      </c>
    </row>
    <row r="214" spans="1:5" x14ac:dyDescent="0.25">
      <c r="A214" t="s">
        <v>213</v>
      </c>
      <c r="B214" s="1">
        <v>43388</v>
      </c>
      <c r="C214" t="s">
        <v>705</v>
      </c>
      <c r="D214" t="s">
        <v>546</v>
      </c>
      <c r="E214" t="s">
        <v>578</v>
      </c>
    </row>
    <row r="215" spans="1:5" x14ac:dyDescent="0.25">
      <c r="A215" t="s">
        <v>487</v>
      </c>
      <c r="B215" s="1">
        <v>43291</v>
      </c>
      <c r="C215" t="s">
        <v>748</v>
      </c>
      <c r="D215" t="s">
        <v>627</v>
      </c>
      <c r="E215" t="s">
        <v>628</v>
      </c>
    </row>
    <row r="216" spans="1:5" x14ac:dyDescent="0.25">
      <c r="A216" t="s">
        <v>219</v>
      </c>
      <c r="B216" s="1">
        <v>43104</v>
      </c>
      <c r="C216" t="s">
        <v>749</v>
      </c>
      <c r="D216" t="s">
        <v>543</v>
      </c>
      <c r="E216" t="s">
        <v>544</v>
      </c>
    </row>
    <row r="217" spans="1:5" x14ac:dyDescent="0.25">
      <c r="A217" t="s">
        <v>261</v>
      </c>
      <c r="B217" s="1">
        <v>43144</v>
      </c>
      <c r="C217" t="s">
        <v>750</v>
      </c>
      <c r="D217" t="s">
        <v>595</v>
      </c>
      <c r="E217" t="s">
        <v>635</v>
      </c>
    </row>
    <row r="218" spans="1:5" x14ac:dyDescent="0.25">
      <c r="A218" t="s">
        <v>38</v>
      </c>
      <c r="B218" s="1">
        <v>43231</v>
      </c>
      <c r="C218" t="s">
        <v>751</v>
      </c>
      <c r="D218" t="s">
        <v>546</v>
      </c>
      <c r="E218" t="s">
        <v>547</v>
      </c>
    </row>
    <row r="219" spans="1:5" x14ac:dyDescent="0.25">
      <c r="A219" t="s">
        <v>56</v>
      </c>
      <c r="B219" s="1">
        <v>43385</v>
      </c>
      <c r="C219" t="s">
        <v>752</v>
      </c>
      <c r="D219" t="s">
        <v>554</v>
      </c>
      <c r="E219" t="s">
        <v>555</v>
      </c>
    </row>
    <row r="220" spans="1:5" x14ac:dyDescent="0.25">
      <c r="A220" t="s">
        <v>489</v>
      </c>
      <c r="B220" s="1">
        <v>43216</v>
      </c>
      <c r="C220" t="s">
        <v>753</v>
      </c>
      <c r="D220" t="s">
        <v>647</v>
      </c>
      <c r="E220" t="s">
        <v>647</v>
      </c>
    </row>
    <row r="221" spans="1:5" x14ac:dyDescent="0.25">
      <c r="A221" t="s">
        <v>226</v>
      </c>
      <c r="B221" s="1">
        <v>43438</v>
      </c>
      <c r="C221" t="s">
        <v>754</v>
      </c>
      <c r="D221" t="s">
        <v>559</v>
      </c>
      <c r="E221" t="s">
        <v>560</v>
      </c>
    </row>
    <row r="222" spans="1:5" x14ac:dyDescent="0.25">
      <c r="A222" t="s">
        <v>27</v>
      </c>
      <c r="B222" s="1">
        <v>43262</v>
      </c>
      <c r="C222" t="s">
        <v>755</v>
      </c>
      <c r="D222" t="s">
        <v>543</v>
      </c>
      <c r="E222" t="s">
        <v>544</v>
      </c>
    </row>
    <row r="223" spans="1:5" x14ac:dyDescent="0.25">
      <c r="A223" t="s">
        <v>161</v>
      </c>
      <c r="B223" s="1">
        <v>43237</v>
      </c>
      <c r="C223" t="s">
        <v>756</v>
      </c>
      <c r="D223" t="s">
        <v>543</v>
      </c>
      <c r="E223" t="s">
        <v>544</v>
      </c>
    </row>
    <row r="224" spans="1:5" x14ac:dyDescent="0.25">
      <c r="A224" t="s">
        <v>259</v>
      </c>
      <c r="B224" s="1">
        <v>43216</v>
      </c>
      <c r="C224" t="s">
        <v>757</v>
      </c>
      <c r="D224" t="s">
        <v>584</v>
      </c>
      <c r="E224" t="s">
        <v>585</v>
      </c>
    </row>
    <row r="225" spans="1:5" x14ac:dyDescent="0.25">
      <c r="A225" t="s">
        <v>233</v>
      </c>
      <c r="B225" s="1">
        <v>43172</v>
      </c>
      <c r="C225" t="s">
        <v>661</v>
      </c>
      <c r="D225" t="s">
        <v>543</v>
      </c>
      <c r="E225" t="s">
        <v>544</v>
      </c>
    </row>
    <row r="226" spans="1:5" x14ac:dyDescent="0.25">
      <c r="A226" t="s">
        <v>275</v>
      </c>
      <c r="B226" s="1">
        <v>43162</v>
      </c>
      <c r="C226" t="s">
        <v>757</v>
      </c>
      <c r="D226" t="s">
        <v>584</v>
      </c>
      <c r="E226" t="s">
        <v>585</v>
      </c>
    </row>
    <row r="227" spans="1:5" x14ac:dyDescent="0.25">
      <c r="A227" t="s">
        <v>249</v>
      </c>
      <c r="B227" s="1">
        <v>43345</v>
      </c>
      <c r="C227" t="s">
        <v>758</v>
      </c>
      <c r="D227" t="s">
        <v>546</v>
      </c>
      <c r="E227" t="s">
        <v>547</v>
      </c>
    </row>
    <row r="228" spans="1:5" x14ac:dyDescent="0.25">
      <c r="A228" t="s">
        <v>47</v>
      </c>
      <c r="B228" s="1">
        <v>43320</v>
      </c>
      <c r="C228" t="s">
        <v>759</v>
      </c>
      <c r="D228" t="s">
        <v>554</v>
      </c>
      <c r="E228" t="s">
        <v>555</v>
      </c>
    </row>
    <row r="229" spans="1:5" x14ac:dyDescent="0.25">
      <c r="A229" t="s">
        <v>65</v>
      </c>
      <c r="B229" s="1">
        <v>43208</v>
      </c>
      <c r="C229" t="s">
        <v>632</v>
      </c>
      <c r="D229" t="s">
        <v>554</v>
      </c>
      <c r="E229" t="s">
        <v>555</v>
      </c>
    </row>
    <row r="230" spans="1:5" x14ac:dyDescent="0.25">
      <c r="A230" t="s">
        <v>370</v>
      </c>
      <c r="B230" s="1">
        <v>43118</v>
      </c>
      <c r="C230" t="s">
        <v>760</v>
      </c>
      <c r="D230" t="s">
        <v>618</v>
      </c>
      <c r="E230" t="s">
        <v>619</v>
      </c>
    </row>
    <row r="231" spans="1:5" x14ac:dyDescent="0.25">
      <c r="A231" t="s">
        <v>485</v>
      </c>
      <c r="B231" s="1">
        <v>43345</v>
      </c>
      <c r="C231" t="s">
        <v>745</v>
      </c>
      <c r="D231" t="s">
        <v>543</v>
      </c>
      <c r="E231" t="s">
        <v>544</v>
      </c>
    </row>
    <row r="232" spans="1:5" x14ac:dyDescent="0.25">
      <c r="A232" t="s">
        <v>502</v>
      </c>
      <c r="B232" s="1">
        <v>43208</v>
      </c>
      <c r="C232" t="s">
        <v>761</v>
      </c>
      <c r="D232" t="s">
        <v>559</v>
      </c>
      <c r="E232" t="s">
        <v>566</v>
      </c>
    </row>
    <row r="233" spans="1:5" x14ac:dyDescent="0.25">
      <c r="A233" t="s">
        <v>287</v>
      </c>
      <c r="B233" s="1">
        <v>43262</v>
      </c>
      <c r="C233" t="s">
        <v>762</v>
      </c>
      <c r="D233" t="s">
        <v>546</v>
      </c>
      <c r="E233" t="s">
        <v>547</v>
      </c>
    </row>
    <row r="234" spans="1:5" x14ac:dyDescent="0.25">
      <c r="A234" t="s">
        <v>481</v>
      </c>
      <c r="B234" s="1">
        <v>43398</v>
      </c>
      <c r="C234" t="s">
        <v>763</v>
      </c>
      <c r="D234" t="s">
        <v>593</v>
      </c>
      <c r="E234" t="s">
        <v>576</v>
      </c>
    </row>
    <row r="235" spans="1:5" x14ac:dyDescent="0.25">
      <c r="A235" t="s">
        <v>477</v>
      </c>
      <c r="B235" s="1">
        <v>43154</v>
      </c>
      <c r="C235" t="s">
        <v>561</v>
      </c>
      <c r="D235" t="s">
        <v>543</v>
      </c>
      <c r="E235" t="s">
        <v>544</v>
      </c>
    </row>
    <row r="236" spans="1:5" x14ac:dyDescent="0.25">
      <c r="A236" t="s">
        <v>85</v>
      </c>
      <c r="B236" s="1">
        <v>43290</v>
      </c>
      <c r="C236" t="s">
        <v>764</v>
      </c>
      <c r="D236" t="s">
        <v>598</v>
      </c>
      <c r="E236" t="s">
        <v>599</v>
      </c>
    </row>
    <row r="237" spans="1:5" x14ac:dyDescent="0.25">
      <c r="A237" t="s">
        <v>255</v>
      </c>
      <c r="B237" s="1">
        <v>43132</v>
      </c>
      <c r="C237" t="s">
        <v>655</v>
      </c>
      <c r="D237" t="s">
        <v>540</v>
      </c>
      <c r="E237" t="s">
        <v>540</v>
      </c>
    </row>
    <row r="238" spans="1:5" x14ac:dyDescent="0.25">
      <c r="A238" t="s">
        <v>404</v>
      </c>
      <c r="B238" s="1">
        <v>43408</v>
      </c>
      <c r="C238" t="s">
        <v>765</v>
      </c>
      <c r="D238" t="s">
        <v>697</v>
      </c>
      <c r="E238" t="s">
        <v>698</v>
      </c>
    </row>
    <row r="239" spans="1:5" x14ac:dyDescent="0.25">
      <c r="A239" t="s">
        <v>31</v>
      </c>
      <c r="B239" s="1">
        <v>43410</v>
      </c>
      <c r="C239" t="s">
        <v>766</v>
      </c>
      <c r="D239" t="s">
        <v>584</v>
      </c>
      <c r="E239" t="s">
        <v>585</v>
      </c>
    </row>
    <row r="240" spans="1:5" x14ac:dyDescent="0.25">
      <c r="A240" t="s">
        <v>484</v>
      </c>
      <c r="B240" s="1">
        <v>43358</v>
      </c>
      <c r="C240" t="s">
        <v>767</v>
      </c>
      <c r="D240" t="s">
        <v>543</v>
      </c>
      <c r="E240" t="s">
        <v>544</v>
      </c>
    </row>
    <row r="241" spans="1:5" x14ac:dyDescent="0.25">
      <c r="A241" t="s">
        <v>239</v>
      </c>
      <c r="B241" s="1">
        <v>43210</v>
      </c>
      <c r="C241" t="s">
        <v>768</v>
      </c>
      <c r="D241" t="s">
        <v>546</v>
      </c>
      <c r="E241" t="s">
        <v>578</v>
      </c>
    </row>
    <row r="242" spans="1:5" x14ac:dyDescent="0.25">
      <c r="A242" t="s">
        <v>173</v>
      </c>
      <c r="B242" s="1">
        <v>43135</v>
      </c>
      <c r="C242" t="s">
        <v>769</v>
      </c>
      <c r="D242" t="s">
        <v>540</v>
      </c>
      <c r="E242" t="s">
        <v>540</v>
      </c>
    </row>
    <row r="243" spans="1:5" x14ac:dyDescent="0.25">
      <c r="A243" t="s">
        <v>215</v>
      </c>
      <c r="B243" s="1">
        <v>43254</v>
      </c>
      <c r="C243" t="s">
        <v>770</v>
      </c>
      <c r="D243" t="s">
        <v>598</v>
      </c>
      <c r="E243" t="s">
        <v>599</v>
      </c>
    </row>
    <row r="244" spans="1:5" x14ac:dyDescent="0.25">
      <c r="A244" t="s">
        <v>240</v>
      </c>
      <c r="B244" s="1">
        <v>43303</v>
      </c>
      <c r="C244" t="s">
        <v>771</v>
      </c>
      <c r="D244" t="s">
        <v>546</v>
      </c>
      <c r="E244" t="s">
        <v>547</v>
      </c>
    </row>
    <row r="245" spans="1:5" x14ac:dyDescent="0.25">
      <c r="A245" t="s">
        <v>309</v>
      </c>
      <c r="B245" s="1">
        <v>43145</v>
      </c>
      <c r="C245" t="s">
        <v>611</v>
      </c>
      <c r="D245" t="s">
        <v>612</v>
      </c>
      <c r="E245" t="s">
        <v>613</v>
      </c>
    </row>
    <row r="246" spans="1:5" x14ac:dyDescent="0.25">
      <c r="A246" t="s">
        <v>90</v>
      </c>
      <c r="B246" s="1">
        <v>43336</v>
      </c>
      <c r="C246" t="s">
        <v>573</v>
      </c>
      <c r="D246" t="s">
        <v>647</v>
      </c>
      <c r="E246" t="s">
        <v>647</v>
      </c>
    </row>
    <row r="247" spans="1:5" x14ac:dyDescent="0.25">
      <c r="A247" t="s">
        <v>379</v>
      </c>
      <c r="B247" s="1">
        <v>43378</v>
      </c>
      <c r="C247" t="s">
        <v>772</v>
      </c>
      <c r="D247" t="s">
        <v>598</v>
      </c>
      <c r="E247" t="s">
        <v>599</v>
      </c>
    </row>
    <row r="248" spans="1:5" x14ac:dyDescent="0.25">
      <c r="A248" t="s">
        <v>54</v>
      </c>
      <c r="B248" s="1">
        <v>43330</v>
      </c>
      <c r="C248" t="s">
        <v>773</v>
      </c>
      <c r="D248" t="s">
        <v>568</v>
      </c>
      <c r="E248" t="s">
        <v>569</v>
      </c>
    </row>
    <row r="249" spans="1:5" x14ac:dyDescent="0.25">
      <c r="A249" t="s">
        <v>296</v>
      </c>
      <c r="B249" s="1">
        <v>43147</v>
      </c>
      <c r="C249" t="s">
        <v>562</v>
      </c>
      <c r="D249" t="s">
        <v>568</v>
      </c>
      <c r="E249" t="s">
        <v>569</v>
      </c>
    </row>
    <row r="250" spans="1:5" x14ac:dyDescent="0.25">
      <c r="A250" t="s">
        <v>78</v>
      </c>
      <c r="B250" s="1">
        <v>43217</v>
      </c>
      <c r="C250" t="s">
        <v>737</v>
      </c>
      <c r="D250" t="s">
        <v>595</v>
      </c>
      <c r="E250" t="s">
        <v>635</v>
      </c>
    </row>
    <row r="251" spans="1:5" x14ac:dyDescent="0.25">
      <c r="A251" t="s">
        <v>420</v>
      </c>
      <c r="B251" s="1">
        <v>43365</v>
      </c>
      <c r="C251" t="s">
        <v>773</v>
      </c>
      <c r="D251" t="s">
        <v>537</v>
      </c>
      <c r="E251" t="s">
        <v>607</v>
      </c>
    </row>
    <row r="252" spans="1:5" x14ac:dyDescent="0.25">
      <c r="A252" t="s">
        <v>463</v>
      </c>
      <c r="B252" s="1">
        <v>43179</v>
      </c>
      <c r="C252" t="s">
        <v>756</v>
      </c>
      <c r="D252" t="s">
        <v>543</v>
      </c>
      <c r="E252" t="s">
        <v>544</v>
      </c>
    </row>
    <row r="253" spans="1:5" x14ac:dyDescent="0.25">
      <c r="A253" t="s">
        <v>244</v>
      </c>
      <c r="B253" s="1">
        <v>43140</v>
      </c>
      <c r="C253" t="s">
        <v>701</v>
      </c>
      <c r="D253" t="s">
        <v>627</v>
      </c>
      <c r="E253" t="s">
        <v>628</v>
      </c>
    </row>
    <row r="254" spans="1:5" x14ac:dyDescent="0.25">
      <c r="A254" t="s">
        <v>194</v>
      </c>
      <c r="B254" s="1">
        <v>43185</v>
      </c>
      <c r="C254" t="s">
        <v>735</v>
      </c>
      <c r="D254" t="s">
        <v>571</v>
      </c>
      <c r="E254" t="s">
        <v>572</v>
      </c>
    </row>
    <row r="255" spans="1:5" x14ac:dyDescent="0.25">
      <c r="A255" t="s">
        <v>476</v>
      </c>
      <c r="B255" s="1">
        <v>43207</v>
      </c>
      <c r="C255" t="s">
        <v>774</v>
      </c>
      <c r="D255" t="s">
        <v>584</v>
      </c>
      <c r="E255" t="s">
        <v>585</v>
      </c>
    </row>
    <row r="256" spans="1:5" x14ac:dyDescent="0.25">
      <c r="A256" t="s">
        <v>102</v>
      </c>
      <c r="B256" s="1">
        <v>43130</v>
      </c>
      <c r="C256" t="s">
        <v>742</v>
      </c>
      <c r="D256" t="s">
        <v>540</v>
      </c>
      <c r="E256" t="s">
        <v>540</v>
      </c>
    </row>
    <row r="257" spans="1:5" x14ac:dyDescent="0.25">
      <c r="A257" t="s">
        <v>284</v>
      </c>
      <c r="B257" s="1">
        <v>43343</v>
      </c>
      <c r="C257" t="s">
        <v>775</v>
      </c>
      <c r="D257" t="s">
        <v>618</v>
      </c>
      <c r="E257" t="s">
        <v>619</v>
      </c>
    </row>
    <row r="258" spans="1:5" x14ac:dyDescent="0.25">
      <c r="A258" t="s">
        <v>248</v>
      </c>
      <c r="B258" s="1">
        <v>43131</v>
      </c>
      <c r="C258" t="s">
        <v>776</v>
      </c>
      <c r="D258" t="s">
        <v>540</v>
      </c>
      <c r="E258" t="s">
        <v>540</v>
      </c>
    </row>
    <row r="259" spans="1:5" x14ac:dyDescent="0.25">
      <c r="A259" t="s">
        <v>250</v>
      </c>
      <c r="B259" s="1">
        <v>43404</v>
      </c>
      <c r="C259" t="s">
        <v>777</v>
      </c>
      <c r="D259" t="s">
        <v>598</v>
      </c>
      <c r="E259" t="s">
        <v>599</v>
      </c>
    </row>
    <row r="260" spans="1:5" x14ac:dyDescent="0.25">
      <c r="A260" t="s">
        <v>474</v>
      </c>
      <c r="B260" s="1">
        <v>43239</v>
      </c>
      <c r="C260" t="s">
        <v>604</v>
      </c>
      <c r="D260" t="s">
        <v>546</v>
      </c>
      <c r="E260" t="s">
        <v>547</v>
      </c>
    </row>
    <row r="261" spans="1:5" x14ac:dyDescent="0.25">
      <c r="A261" t="s">
        <v>254</v>
      </c>
      <c r="B261" s="1">
        <v>43152</v>
      </c>
      <c r="C261" t="s">
        <v>552</v>
      </c>
      <c r="D261" t="s">
        <v>543</v>
      </c>
      <c r="E261" t="s">
        <v>551</v>
      </c>
    </row>
    <row r="262" spans="1:5" x14ac:dyDescent="0.25">
      <c r="A262" t="s">
        <v>449</v>
      </c>
      <c r="B262" s="1">
        <v>43113</v>
      </c>
      <c r="C262" t="s">
        <v>778</v>
      </c>
      <c r="D262" t="s">
        <v>559</v>
      </c>
      <c r="E262" t="s">
        <v>566</v>
      </c>
    </row>
    <row r="263" spans="1:5" x14ac:dyDescent="0.25">
      <c r="A263" t="s">
        <v>191</v>
      </c>
      <c r="B263" s="1">
        <v>43439</v>
      </c>
      <c r="C263" t="s">
        <v>733</v>
      </c>
      <c r="D263" t="s">
        <v>543</v>
      </c>
      <c r="E263" t="s">
        <v>544</v>
      </c>
    </row>
    <row r="264" spans="1:5" x14ac:dyDescent="0.25">
      <c r="A264" t="s">
        <v>256</v>
      </c>
      <c r="B264" s="1">
        <v>43141</v>
      </c>
      <c r="C264" t="s">
        <v>779</v>
      </c>
      <c r="D264" t="s">
        <v>537</v>
      </c>
      <c r="E264" t="s">
        <v>607</v>
      </c>
    </row>
    <row r="265" spans="1:5" x14ac:dyDescent="0.25">
      <c r="A265" t="s">
        <v>472</v>
      </c>
      <c r="B265" s="1">
        <v>43428</v>
      </c>
      <c r="C265" t="s">
        <v>780</v>
      </c>
      <c r="D265" t="s">
        <v>575</v>
      </c>
      <c r="E265" t="s">
        <v>638</v>
      </c>
    </row>
    <row r="266" spans="1:5" x14ac:dyDescent="0.25">
      <c r="A266" t="s">
        <v>257</v>
      </c>
      <c r="B266" s="1">
        <v>43453</v>
      </c>
      <c r="C266" t="s">
        <v>781</v>
      </c>
      <c r="D266" t="s">
        <v>575</v>
      </c>
      <c r="E266" t="s">
        <v>638</v>
      </c>
    </row>
    <row r="267" spans="1:5" x14ac:dyDescent="0.25">
      <c r="A267" t="s">
        <v>305</v>
      </c>
      <c r="B267" s="1">
        <v>43367</v>
      </c>
      <c r="C267" t="s">
        <v>782</v>
      </c>
      <c r="D267" t="s">
        <v>697</v>
      </c>
      <c r="E267" t="s">
        <v>698</v>
      </c>
    </row>
    <row r="268" spans="1:5" x14ac:dyDescent="0.25">
      <c r="A268" t="s">
        <v>301</v>
      </c>
      <c r="B268" s="1">
        <v>43139</v>
      </c>
      <c r="C268" t="s">
        <v>668</v>
      </c>
      <c r="D268" t="s">
        <v>540</v>
      </c>
      <c r="E268" t="s">
        <v>540</v>
      </c>
    </row>
    <row r="269" spans="1:5" x14ac:dyDescent="0.25">
      <c r="A269" t="s">
        <v>258</v>
      </c>
      <c r="B269" s="1">
        <v>43221</v>
      </c>
      <c r="C269" t="s">
        <v>783</v>
      </c>
      <c r="D269" t="s">
        <v>546</v>
      </c>
      <c r="E269" t="s">
        <v>547</v>
      </c>
    </row>
    <row r="270" spans="1:5" x14ac:dyDescent="0.25">
      <c r="A270" t="s">
        <v>201</v>
      </c>
      <c r="B270" s="1">
        <v>43402</v>
      </c>
      <c r="C270" t="s">
        <v>784</v>
      </c>
      <c r="D270" t="s">
        <v>543</v>
      </c>
      <c r="E270" t="s">
        <v>544</v>
      </c>
    </row>
    <row r="271" spans="1:5" x14ac:dyDescent="0.25">
      <c r="A271" t="s">
        <v>267</v>
      </c>
      <c r="B271" s="1">
        <v>43202</v>
      </c>
      <c r="C271" t="s">
        <v>574</v>
      </c>
      <c r="D271" t="s">
        <v>575</v>
      </c>
      <c r="E271" t="s">
        <v>576</v>
      </c>
    </row>
    <row r="272" spans="1:5" x14ac:dyDescent="0.25">
      <c r="A272" t="s">
        <v>467</v>
      </c>
      <c r="B272" s="1">
        <v>43383</v>
      </c>
      <c r="C272" t="s">
        <v>785</v>
      </c>
      <c r="D272" t="s">
        <v>546</v>
      </c>
      <c r="E272" t="s">
        <v>547</v>
      </c>
    </row>
    <row r="273" spans="1:5" x14ac:dyDescent="0.25">
      <c r="A273" t="s">
        <v>241</v>
      </c>
      <c r="B273" s="1">
        <v>43407</v>
      </c>
      <c r="C273" t="s">
        <v>786</v>
      </c>
      <c r="D273" t="s">
        <v>543</v>
      </c>
      <c r="E273" t="s">
        <v>544</v>
      </c>
    </row>
    <row r="274" spans="1:5" x14ac:dyDescent="0.25">
      <c r="A274" t="s">
        <v>270</v>
      </c>
      <c r="B274" s="1">
        <v>43150</v>
      </c>
      <c r="C274" t="s">
        <v>787</v>
      </c>
      <c r="D274" t="s">
        <v>647</v>
      </c>
      <c r="E274" t="s">
        <v>647</v>
      </c>
    </row>
    <row r="275" spans="1:5" x14ac:dyDescent="0.25">
      <c r="A275" t="s">
        <v>289</v>
      </c>
      <c r="B275" s="1">
        <v>43349</v>
      </c>
      <c r="C275" t="s">
        <v>660</v>
      </c>
      <c r="D275" t="s">
        <v>580</v>
      </c>
      <c r="E275" t="s">
        <v>581</v>
      </c>
    </row>
    <row r="276" spans="1:5" x14ac:dyDescent="0.25">
      <c r="A276" t="s">
        <v>315</v>
      </c>
      <c r="B276" s="1">
        <v>43428</v>
      </c>
      <c r="C276" t="s">
        <v>788</v>
      </c>
      <c r="D276" t="s">
        <v>537</v>
      </c>
      <c r="E276" t="s">
        <v>549</v>
      </c>
    </row>
    <row r="277" spans="1:5" x14ac:dyDescent="0.25">
      <c r="A277" t="s">
        <v>274</v>
      </c>
      <c r="B277" s="1">
        <v>43236</v>
      </c>
      <c r="C277" t="s">
        <v>591</v>
      </c>
      <c r="D277" t="s">
        <v>598</v>
      </c>
      <c r="E277" t="s">
        <v>599</v>
      </c>
    </row>
    <row r="278" spans="1:5" x14ac:dyDescent="0.25">
      <c r="A278" t="s">
        <v>277</v>
      </c>
      <c r="B278" s="1">
        <v>43456</v>
      </c>
      <c r="C278" t="s">
        <v>789</v>
      </c>
      <c r="D278" t="s">
        <v>546</v>
      </c>
      <c r="E278" t="s">
        <v>547</v>
      </c>
    </row>
    <row r="279" spans="1:5" x14ac:dyDescent="0.25">
      <c r="A279" t="s">
        <v>278</v>
      </c>
      <c r="B279" s="1">
        <v>43122</v>
      </c>
      <c r="C279" t="s">
        <v>675</v>
      </c>
      <c r="D279" t="s">
        <v>546</v>
      </c>
      <c r="E279" t="s">
        <v>547</v>
      </c>
    </row>
    <row r="280" spans="1:5" x14ac:dyDescent="0.25">
      <c r="A280" t="s">
        <v>282</v>
      </c>
      <c r="B280" s="1">
        <v>43174</v>
      </c>
      <c r="C280" t="s">
        <v>620</v>
      </c>
      <c r="D280" t="s">
        <v>584</v>
      </c>
      <c r="E280" t="s">
        <v>585</v>
      </c>
    </row>
    <row r="281" spans="1:5" x14ac:dyDescent="0.25">
      <c r="A281" t="s">
        <v>188</v>
      </c>
      <c r="B281" s="1">
        <v>43421</v>
      </c>
      <c r="C281" t="s">
        <v>649</v>
      </c>
      <c r="D281" t="s">
        <v>697</v>
      </c>
      <c r="E281" t="s">
        <v>698</v>
      </c>
    </row>
    <row r="282" spans="1:5" x14ac:dyDescent="0.25">
      <c r="A282" t="s">
        <v>33</v>
      </c>
      <c r="B282" s="1">
        <v>43279</v>
      </c>
      <c r="C282" t="s">
        <v>790</v>
      </c>
      <c r="D282" t="s">
        <v>546</v>
      </c>
      <c r="E282" t="s">
        <v>547</v>
      </c>
    </row>
    <row r="283" spans="1:5" x14ac:dyDescent="0.25">
      <c r="A283" t="s">
        <v>290</v>
      </c>
      <c r="B283" s="1">
        <v>43237</v>
      </c>
      <c r="C283" t="s">
        <v>791</v>
      </c>
      <c r="D283" t="s">
        <v>627</v>
      </c>
      <c r="E283" t="s">
        <v>628</v>
      </c>
    </row>
    <row r="284" spans="1:5" x14ac:dyDescent="0.25">
      <c r="A284" t="s">
        <v>326</v>
      </c>
      <c r="B284" s="1">
        <v>43324</v>
      </c>
      <c r="C284" t="s">
        <v>792</v>
      </c>
      <c r="D284" t="s">
        <v>595</v>
      </c>
      <c r="E284" t="s">
        <v>635</v>
      </c>
    </row>
    <row r="285" spans="1:5" x14ac:dyDescent="0.25">
      <c r="A285" t="s">
        <v>448</v>
      </c>
      <c r="B285" s="1">
        <v>43342</v>
      </c>
      <c r="C285" t="s">
        <v>605</v>
      </c>
      <c r="D285" t="s">
        <v>595</v>
      </c>
      <c r="E285" t="s">
        <v>635</v>
      </c>
    </row>
    <row r="286" spans="1:5" x14ac:dyDescent="0.25">
      <c r="A286" t="s">
        <v>271</v>
      </c>
      <c r="B286" s="1">
        <v>43419</v>
      </c>
      <c r="C286" t="s">
        <v>793</v>
      </c>
      <c r="D286" t="s">
        <v>537</v>
      </c>
      <c r="E286" t="s">
        <v>607</v>
      </c>
    </row>
    <row r="287" spans="1:5" x14ac:dyDescent="0.25">
      <c r="A287" t="s">
        <v>503</v>
      </c>
      <c r="B287" s="1">
        <v>43170</v>
      </c>
      <c r="C287" t="s">
        <v>794</v>
      </c>
      <c r="D287" t="s">
        <v>575</v>
      </c>
      <c r="E287" t="s">
        <v>576</v>
      </c>
    </row>
    <row r="288" spans="1:5" x14ac:dyDescent="0.25">
      <c r="A288" t="s">
        <v>145</v>
      </c>
      <c r="B288" s="1">
        <v>43381</v>
      </c>
      <c r="C288" t="s">
        <v>795</v>
      </c>
      <c r="D288" t="s">
        <v>568</v>
      </c>
      <c r="E288" t="s">
        <v>569</v>
      </c>
    </row>
    <row r="289" spans="1:5" x14ac:dyDescent="0.25">
      <c r="A289" t="s">
        <v>89</v>
      </c>
      <c r="B289" s="1">
        <v>43443</v>
      </c>
      <c r="C289" t="s">
        <v>716</v>
      </c>
      <c r="D289" t="s">
        <v>575</v>
      </c>
      <c r="E289" t="s">
        <v>638</v>
      </c>
    </row>
    <row r="290" spans="1:5" x14ac:dyDescent="0.25">
      <c r="A290" t="s">
        <v>302</v>
      </c>
      <c r="B290" s="1">
        <v>43184</v>
      </c>
      <c r="C290" t="s">
        <v>796</v>
      </c>
      <c r="D290" t="s">
        <v>580</v>
      </c>
      <c r="E290" t="s">
        <v>581</v>
      </c>
    </row>
    <row r="291" spans="1:5" x14ac:dyDescent="0.25">
      <c r="A291" t="s">
        <v>308</v>
      </c>
      <c r="B291" s="1">
        <v>43228</v>
      </c>
      <c r="C291" t="s">
        <v>797</v>
      </c>
      <c r="D291" t="s">
        <v>647</v>
      </c>
      <c r="E291" t="s">
        <v>647</v>
      </c>
    </row>
    <row r="292" spans="1:5" x14ac:dyDescent="0.25">
      <c r="A292" t="s">
        <v>332</v>
      </c>
      <c r="B292" s="1">
        <v>43140</v>
      </c>
      <c r="C292" t="s">
        <v>798</v>
      </c>
      <c r="D292" t="s">
        <v>612</v>
      </c>
      <c r="E292" t="s">
        <v>613</v>
      </c>
    </row>
    <row r="293" spans="1:5" x14ac:dyDescent="0.25">
      <c r="A293" t="s">
        <v>272</v>
      </c>
      <c r="B293" s="1">
        <v>43374</v>
      </c>
      <c r="C293" t="s">
        <v>799</v>
      </c>
      <c r="D293" t="s">
        <v>559</v>
      </c>
      <c r="E293" t="s">
        <v>566</v>
      </c>
    </row>
    <row r="294" spans="1:5" x14ac:dyDescent="0.25">
      <c r="A294" t="s">
        <v>333</v>
      </c>
      <c r="B294" s="1">
        <v>43465</v>
      </c>
      <c r="C294" t="s">
        <v>660</v>
      </c>
      <c r="D294" t="s">
        <v>537</v>
      </c>
      <c r="E294" t="s">
        <v>607</v>
      </c>
    </row>
    <row r="295" spans="1:5" x14ac:dyDescent="0.25">
      <c r="A295" t="s">
        <v>281</v>
      </c>
      <c r="B295" s="1">
        <v>43131</v>
      </c>
      <c r="C295" t="s">
        <v>800</v>
      </c>
      <c r="D295" t="s">
        <v>546</v>
      </c>
      <c r="E295" t="s">
        <v>547</v>
      </c>
    </row>
    <row r="296" spans="1:5" x14ac:dyDescent="0.25">
      <c r="A296" t="s">
        <v>311</v>
      </c>
      <c r="B296" s="1">
        <v>43134</v>
      </c>
      <c r="C296" t="s">
        <v>801</v>
      </c>
      <c r="D296" t="s">
        <v>540</v>
      </c>
      <c r="E296" t="s">
        <v>540</v>
      </c>
    </row>
    <row r="297" spans="1:5" x14ac:dyDescent="0.25">
      <c r="A297" t="s">
        <v>339</v>
      </c>
      <c r="B297" s="1">
        <v>43210</v>
      </c>
      <c r="C297" t="s">
        <v>552</v>
      </c>
      <c r="D297" t="s">
        <v>543</v>
      </c>
      <c r="E297" t="s">
        <v>551</v>
      </c>
    </row>
    <row r="298" spans="1:5" x14ac:dyDescent="0.25">
      <c r="A298" t="s">
        <v>343</v>
      </c>
      <c r="B298" s="1">
        <v>43288</v>
      </c>
      <c r="C298" t="s">
        <v>802</v>
      </c>
      <c r="D298" t="s">
        <v>595</v>
      </c>
      <c r="E298" t="s">
        <v>635</v>
      </c>
    </row>
    <row r="299" spans="1:5" x14ac:dyDescent="0.25">
      <c r="A299" t="s">
        <v>444</v>
      </c>
      <c r="B299" s="1">
        <v>43125</v>
      </c>
      <c r="C299" t="s">
        <v>803</v>
      </c>
      <c r="D299" t="s">
        <v>575</v>
      </c>
      <c r="E299" t="s">
        <v>638</v>
      </c>
    </row>
    <row r="300" spans="1:5" x14ac:dyDescent="0.25">
      <c r="A300" t="s">
        <v>453</v>
      </c>
      <c r="B300" s="1">
        <v>43175</v>
      </c>
      <c r="C300" t="s">
        <v>804</v>
      </c>
      <c r="D300" t="s">
        <v>595</v>
      </c>
      <c r="E300" t="s">
        <v>635</v>
      </c>
    </row>
    <row r="301" spans="1:5" x14ac:dyDescent="0.25">
      <c r="A301" t="s">
        <v>340</v>
      </c>
      <c r="B301" s="1">
        <v>43297</v>
      </c>
      <c r="C301" t="s">
        <v>805</v>
      </c>
      <c r="D301" t="s">
        <v>593</v>
      </c>
      <c r="E301" t="s">
        <v>576</v>
      </c>
    </row>
    <row r="302" spans="1:5" x14ac:dyDescent="0.25">
      <c r="A302" t="s">
        <v>312</v>
      </c>
      <c r="B302" s="1">
        <v>43419</v>
      </c>
      <c r="C302" t="s">
        <v>806</v>
      </c>
      <c r="D302" t="s">
        <v>580</v>
      </c>
      <c r="E302" t="s">
        <v>581</v>
      </c>
    </row>
    <row r="303" spans="1:5" x14ac:dyDescent="0.25">
      <c r="A303" t="s">
        <v>69</v>
      </c>
      <c r="B303" s="1">
        <v>43134</v>
      </c>
      <c r="C303" t="s">
        <v>807</v>
      </c>
      <c r="D303" t="s">
        <v>546</v>
      </c>
      <c r="E303" t="s">
        <v>547</v>
      </c>
    </row>
    <row r="304" spans="1:5" x14ac:dyDescent="0.25">
      <c r="A304" t="s">
        <v>314</v>
      </c>
      <c r="B304" s="1">
        <v>43313</v>
      </c>
      <c r="C304" t="s">
        <v>701</v>
      </c>
      <c r="D304" t="s">
        <v>546</v>
      </c>
      <c r="E304" t="s">
        <v>547</v>
      </c>
    </row>
    <row r="305" spans="1:5" x14ac:dyDescent="0.25">
      <c r="A305" t="s">
        <v>329</v>
      </c>
      <c r="B305" s="1">
        <v>43160</v>
      </c>
      <c r="C305" t="s">
        <v>696</v>
      </c>
      <c r="D305" t="s">
        <v>697</v>
      </c>
      <c r="E305" t="s">
        <v>698</v>
      </c>
    </row>
    <row r="306" spans="1:5" x14ac:dyDescent="0.25">
      <c r="A306" t="s">
        <v>217</v>
      </c>
      <c r="B306" s="1">
        <v>43127</v>
      </c>
      <c r="C306" t="s">
        <v>767</v>
      </c>
      <c r="D306" t="s">
        <v>559</v>
      </c>
      <c r="E306" t="s">
        <v>560</v>
      </c>
    </row>
    <row r="307" spans="1:5" x14ac:dyDescent="0.25">
      <c r="A307" t="s">
        <v>317</v>
      </c>
      <c r="B307" s="1">
        <v>43446</v>
      </c>
      <c r="C307" t="s">
        <v>808</v>
      </c>
      <c r="D307" t="s">
        <v>540</v>
      </c>
      <c r="E307" t="s">
        <v>540</v>
      </c>
    </row>
    <row r="308" spans="1:5" x14ac:dyDescent="0.25">
      <c r="A308" t="s">
        <v>434</v>
      </c>
      <c r="B308" s="1">
        <v>43107</v>
      </c>
      <c r="C308" t="s">
        <v>809</v>
      </c>
      <c r="D308" t="s">
        <v>584</v>
      </c>
      <c r="E308" t="s">
        <v>585</v>
      </c>
    </row>
    <row r="309" spans="1:5" x14ac:dyDescent="0.25">
      <c r="A309" t="s">
        <v>319</v>
      </c>
      <c r="B309" s="1">
        <v>43367</v>
      </c>
      <c r="C309" t="s">
        <v>794</v>
      </c>
      <c r="D309" t="s">
        <v>571</v>
      </c>
      <c r="E309" t="s">
        <v>572</v>
      </c>
    </row>
    <row r="310" spans="1:5" x14ac:dyDescent="0.25">
      <c r="A310" t="s">
        <v>318</v>
      </c>
      <c r="B310" s="1">
        <v>43158</v>
      </c>
      <c r="C310" t="s">
        <v>810</v>
      </c>
      <c r="D310" t="s">
        <v>593</v>
      </c>
      <c r="E310" t="s">
        <v>576</v>
      </c>
    </row>
    <row r="311" spans="1:5" x14ac:dyDescent="0.25">
      <c r="A311" t="s">
        <v>432</v>
      </c>
      <c r="B311" s="1">
        <v>43269</v>
      </c>
      <c r="C311" t="s">
        <v>811</v>
      </c>
      <c r="D311" t="s">
        <v>618</v>
      </c>
      <c r="E311" t="s">
        <v>619</v>
      </c>
    </row>
    <row r="312" spans="1:5" x14ac:dyDescent="0.25">
      <c r="A312" t="s">
        <v>364</v>
      </c>
      <c r="B312" s="1">
        <v>43118</v>
      </c>
      <c r="C312" t="s">
        <v>660</v>
      </c>
      <c r="D312" t="s">
        <v>554</v>
      </c>
      <c r="E312" t="s">
        <v>555</v>
      </c>
    </row>
    <row r="313" spans="1:5" x14ac:dyDescent="0.25">
      <c r="A313" t="s">
        <v>362</v>
      </c>
      <c r="B313" s="1">
        <v>43154</v>
      </c>
      <c r="C313" t="s">
        <v>676</v>
      </c>
      <c r="D313" t="s">
        <v>546</v>
      </c>
      <c r="E313" t="s">
        <v>547</v>
      </c>
    </row>
    <row r="314" spans="1:5" x14ac:dyDescent="0.25">
      <c r="A314" t="s">
        <v>403</v>
      </c>
      <c r="B314" s="1">
        <v>43459</v>
      </c>
      <c r="C314" t="s">
        <v>812</v>
      </c>
      <c r="D314" t="s">
        <v>575</v>
      </c>
      <c r="E314" t="s">
        <v>638</v>
      </c>
    </row>
    <row r="315" spans="1:5" x14ac:dyDescent="0.25">
      <c r="A315" t="s">
        <v>431</v>
      </c>
      <c r="B315" s="1">
        <v>43110</v>
      </c>
      <c r="C315" t="s">
        <v>813</v>
      </c>
      <c r="D315" t="s">
        <v>543</v>
      </c>
      <c r="E315" t="s">
        <v>551</v>
      </c>
    </row>
    <row r="316" spans="1:5" x14ac:dyDescent="0.25">
      <c r="A316" t="s">
        <v>325</v>
      </c>
      <c r="B316" s="1">
        <v>43300</v>
      </c>
      <c r="C316" t="s">
        <v>603</v>
      </c>
      <c r="D316" t="s">
        <v>546</v>
      </c>
      <c r="E316" t="s">
        <v>547</v>
      </c>
    </row>
    <row r="317" spans="1:5" x14ac:dyDescent="0.25">
      <c r="A317" t="s">
        <v>428</v>
      </c>
      <c r="B317" s="1">
        <v>43150</v>
      </c>
      <c r="C317" t="s">
        <v>735</v>
      </c>
      <c r="D317" t="s">
        <v>571</v>
      </c>
      <c r="E317" t="s">
        <v>572</v>
      </c>
    </row>
    <row r="318" spans="1:5" x14ac:dyDescent="0.25">
      <c r="A318" t="s">
        <v>426</v>
      </c>
      <c r="B318" s="1">
        <v>43269</v>
      </c>
      <c r="C318" t="s">
        <v>814</v>
      </c>
      <c r="D318" t="s">
        <v>595</v>
      </c>
      <c r="E318" t="s">
        <v>635</v>
      </c>
    </row>
    <row r="319" spans="1:5" x14ac:dyDescent="0.25">
      <c r="A319" t="s">
        <v>425</v>
      </c>
      <c r="B319" s="1">
        <v>43241</v>
      </c>
      <c r="C319" t="s">
        <v>815</v>
      </c>
      <c r="D319" t="s">
        <v>580</v>
      </c>
      <c r="E319" t="s">
        <v>581</v>
      </c>
    </row>
    <row r="320" spans="1:5" x14ac:dyDescent="0.25">
      <c r="A320" t="s">
        <v>327</v>
      </c>
      <c r="B320" s="1">
        <v>43139</v>
      </c>
      <c r="C320" t="s">
        <v>816</v>
      </c>
      <c r="D320" t="s">
        <v>595</v>
      </c>
      <c r="E320" t="s">
        <v>635</v>
      </c>
    </row>
    <row r="321" spans="1:5" x14ac:dyDescent="0.25">
      <c r="A321" t="s">
        <v>423</v>
      </c>
      <c r="B321" s="1">
        <v>43201</v>
      </c>
      <c r="C321" t="s">
        <v>796</v>
      </c>
      <c r="D321" t="s">
        <v>580</v>
      </c>
      <c r="E321" t="s">
        <v>581</v>
      </c>
    </row>
    <row r="322" spans="1:5" x14ac:dyDescent="0.25">
      <c r="A322" t="s">
        <v>378</v>
      </c>
      <c r="B322" s="1">
        <v>43444</v>
      </c>
      <c r="C322" t="s">
        <v>817</v>
      </c>
      <c r="D322" t="s">
        <v>559</v>
      </c>
      <c r="E322" t="s">
        <v>560</v>
      </c>
    </row>
    <row r="323" spans="1:5" x14ac:dyDescent="0.25">
      <c r="A323" t="s">
        <v>336</v>
      </c>
      <c r="B323" s="1">
        <v>43212</v>
      </c>
      <c r="C323" t="s">
        <v>680</v>
      </c>
      <c r="D323" t="s">
        <v>618</v>
      </c>
      <c r="E323" t="s">
        <v>619</v>
      </c>
    </row>
    <row r="324" spans="1:5" x14ac:dyDescent="0.25">
      <c r="A324" t="s">
        <v>430</v>
      </c>
      <c r="B324" s="1">
        <v>43289</v>
      </c>
      <c r="C324" t="s">
        <v>818</v>
      </c>
      <c r="D324" t="s">
        <v>618</v>
      </c>
      <c r="E324" t="s">
        <v>619</v>
      </c>
    </row>
    <row r="325" spans="1:5" x14ac:dyDescent="0.25">
      <c r="A325" t="s">
        <v>323</v>
      </c>
      <c r="B325" s="1">
        <v>43186</v>
      </c>
      <c r="C325" t="s">
        <v>632</v>
      </c>
      <c r="D325" t="s">
        <v>554</v>
      </c>
      <c r="E325" t="s">
        <v>555</v>
      </c>
    </row>
    <row r="326" spans="1:5" x14ac:dyDescent="0.25">
      <c r="A326" t="s">
        <v>324</v>
      </c>
      <c r="B326" s="1">
        <v>43193</v>
      </c>
      <c r="C326" t="s">
        <v>750</v>
      </c>
      <c r="D326" t="s">
        <v>595</v>
      </c>
      <c r="E326" t="s">
        <v>635</v>
      </c>
    </row>
    <row r="327" spans="1:5" x14ac:dyDescent="0.25">
      <c r="A327" t="s">
        <v>429</v>
      </c>
      <c r="B327" s="1">
        <v>43396</v>
      </c>
      <c r="C327" t="s">
        <v>603</v>
      </c>
      <c r="D327" t="s">
        <v>546</v>
      </c>
      <c r="E327" t="s">
        <v>547</v>
      </c>
    </row>
    <row r="328" spans="1:5" x14ac:dyDescent="0.25">
      <c r="A328" t="s">
        <v>199</v>
      </c>
      <c r="B328" s="1">
        <v>43402</v>
      </c>
      <c r="C328" t="s">
        <v>819</v>
      </c>
      <c r="D328" t="s">
        <v>559</v>
      </c>
      <c r="E328" t="s">
        <v>566</v>
      </c>
    </row>
    <row r="329" spans="1:5" x14ac:dyDescent="0.25">
      <c r="A329" t="s">
        <v>263</v>
      </c>
      <c r="B329" s="1">
        <v>43150</v>
      </c>
      <c r="C329" t="s">
        <v>820</v>
      </c>
      <c r="D329" t="s">
        <v>697</v>
      </c>
      <c r="E329" t="s">
        <v>698</v>
      </c>
    </row>
    <row r="330" spans="1:5" x14ac:dyDescent="0.25">
      <c r="A330" t="s">
        <v>286</v>
      </c>
      <c r="B330" s="1">
        <v>43382</v>
      </c>
      <c r="C330" t="s">
        <v>821</v>
      </c>
      <c r="D330" t="s">
        <v>580</v>
      </c>
      <c r="E330" t="s">
        <v>581</v>
      </c>
    </row>
    <row r="331" spans="1:5" x14ac:dyDescent="0.25">
      <c r="A331" t="s">
        <v>197</v>
      </c>
      <c r="B331" s="1">
        <v>43445</v>
      </c>
      <c r="C331" t="s">
        <v>822</v>
      </c>
      <c r="D331" t="s">
        <v>540</v>
      </c>
      <c r="E331" t="s">
        <v>540</v>
      </c>
    </row>
    <row r="332" spans="1:5" x14ac:dyDescent="0.25">
      <c r="A332" t="s">
        <v>334</v>
      </c>
      <c r="B332" s="1">
        <v>43113</v>
      </c>
      <c r="C332" t="s">
        <v>823</v>
      </c>
      <c r="D332" t="s">
        <v>543</v>
      </c>
      <c r="E332" t="s">
        <v>551</v>
      </c>
    </row>
    <row r="333" spans="1:5" x14ac:dyDescent="0.25">
      <c r="A333" t="s">
        <v>335</v>
      </c>
      <c r="B333" s="1">
        <v>43186</v>
      </c>
      <c r="C333" t="s">
        <v>768</v>
      </c>
      <c r="D333" t="s">
        <v>546</v>
      </c>
      <c r="E333" t="s">
        <v>578</v>
      </c>
    </row>
    <row r="334" spans="1:5" x14ac:dyDescent="0.25">
      <c r="A334" t="s">
        <v>383</v>
      </c>
      <c r="B334" s="1">
        <v>43113</v>
      </c>
      <c r="C334" t="s">
        <v>824</v>
      </c>
      <c r="D334" t="s">
        <v>543</v>
      </c>
      <c r="E334" t="s">
        <v>544</v>
      </c>
    </row>
    <row r="335" spans="1:5" x14ac:dyDescent="0.25">
      <c r="A335" t="s">
        <v>49</v>
      </c>
      <c r="B335" s="1">
        <v>43138</v>
      </c>
      <c r="C335" t="s">
        <v>825</v>
      </c>
      <c r="D335" t="s">
        <v>540</v>
      </c>
      <c r="E335" t="s">
        <v>540</v>
      </c>
    </row>
    <row r="336" spans="1:5" x14ac:dyDescent="0.25">
      <c r="A336" t="s">
        <v>345</v>
      </c>
      <c r="B336" s="1">
        <v>43345</v>
      </c>
      <c r="C336" t="s">
        <v>826</v>
      </c>
      <c r="D336" t="s">
        <v>537</v>
      </c>
      <c r="E336" t="s">
        <v>607</v>
      </c>
    </row>
    <row r="337" spans="1:5" x14ac:dyDescent="0.25">
      <c r="A337" t="s">
        <v>416</v>
      </c>
      <c r="B337" s="1">
        <v>43235</v>
      </c>
      <c r="C337" t="s">
        <v>827</v>
      </c>
      <c r="D337" t="s">
        <v>618</v>
      </c>
      <c r="E337" t="s">
        <v>619</v>
      </c>
    </row>
    <row r="338" spans="1:5" x14ac:dyDescent="0.25">
      <c r="A338" t="s">
        <v>391</v>
      </c>
      <c r="B338" s="1">
        <v>43462</v>
      </c>
      <c r="C338" t="s">
        <v>828</v>
      </c>
      <c r="D338" t="s">
        <v>598</v>
      </c>
      <c r="E338" t="s">
        <v>599</v>
      </c>
    </row>
    <row r="339" spans="1:5" x14ac:dyDescent="0.25">
      <c r="A339" t="s">
        <v>59</v>
      </c>
      <c r="B339" s="1">
        <v>43431</v>
      </c>
      <c r="C339" t="s">
        <v>829</v>
      </c>
      <c r="D339" t="s">
        <v>559</v>
      </c>
      <c r="E339" t="s">
        <v>560</v>
      </c>
    </row>
    <row r="340" spans="1:5" x14ac:dyDescent="0.25">
      <c r="A340" t="s">
        <v>414</v>
      </c>
      <c r="B340" s="1">
        <v>43112</v>
      </c>
      <c r="C340" t="s">
        <v>830</v>
      </c>
      <c r="D340" t="s">
        <v>554</v>
      </c>
      <c r="E340" t="s">
        <v>555</v>
      </c>
    </row>
    <row r="341" spans="1:5" x14ac:dyDescent="0.25">
      <c r="A341" t="s">
        <v>348</v>
      </c>
      <c r="B341" s="1">
        <v>43175</v>
      </c>
      <c r="C341" t="s">
        <v>751</v>
      </c>
      <c r="D341" t="s">
        <v>546</v>
      </c>
      <c r="E341" t="s">
        <v>547</v>
      </c>
    </row>
    <row r="342" spans="1:5" x14ac:dyDescent="0.25">
      <c r="A342" t="s">
        <v>297</v>
      </c>
      <c r="B342" s="1">
        <v>43183</v>
      </c>
      <c r="C342" t="s">
        <v>562</v>
      </c>
      <c r="D342" t="s">
        <v>568</v>
      </c>
      <c r="E342" t="s">
        <v>569</v>
      </c>
    </row>
    <row r="343" spans="1:5" x14ac:dyDescent="0.25">
      <c r="A343" t="s">
        <v>418</v>
      </c>
      <c r="B343" s="1">
        <v>43301</v>
      </c>
      <c r="C343" t="s">
        <v>831</v>
      </c>
      <c r="D343" t="s">
        <v>584</v>
      </c>
      <c r="E343" t="s">
        <v>585</v>
      </c>
    </row>
    <row r="344" spans="1:5" x14ac:dyDescent="0.25">
      <c r="A344" t="s">
        <v>229</v>
      </c>
      <c r="B344" s="1">
        <v>43214</v>
      </c>
      <c r="C344" t="s">
        <v>674</v>
      </c>
      <c r="D344" t="s">
        <v>575</v>
      </c>
      <c r="E344" t="s">
        <v>576</v>
      </c>
    </row>
    <row r="345" spans="1:5" x14ac:dyDescent="0.25">
      <c r="A345" t="s">
        <v>221</v>
      </c>
      <c r="B345" s="1">
        <v>43248</v>
      </c>
      <c r="C345" t="s">
        <v>832</v>
      </c>
      <c r="D345" t="s">
        <v>559</v>
      </c>
      <c r="E345" t="s">
        <v>566</v>
      </c>
    </row>
    <row r="346" spans="1:5" x14ac:dyDescent="0.25">
      <c r="A346" t="s">
        <v>493</v>
      </c>
      <c r="B346" s="1">
        <v>43268</v>
      </c>
      <c r="C346" t="s">
        <v>833</v>
      </c>
      <c r="D346" t="s">
        <v>546</v>
      </c>
      <c r="E346" t="s">
        <v>547</v>
      </c>
    </row>
    <row r="347" spans="1:5" x14ac:dyDescent="0.25">
      <c r="A347" t="s">
        <v>415</v>
      </c>
      <c r="B347" s="1">
        <v>43134</v>
      </c>
      <c r="C347" t="s">
        <v>565</v>
      </c>
      <c r="D347" t="s">
        <v>595</v>
      </c>
      <c r="E347" t="s">
        <v>596</v>
      </c>
    </row>
    <row r="348" spans="1:5" x14ac:dyDescent="0.25">
      <c r="A348" t="s">
        <v>350</v>
      </c>
      <c r="B348" s="1">
        <v>43341</v>
      </c>
      <c r="C348" t="s">
        <v>834</v>
      </c>
      <c r="D348" t="s">
        <v>546</v>
      </c>
      <c r="E348" t="s">
        <v>578</v>
      </c>
    </row>
    <row r="349" spans="1:5" x14ac:dyDescent="0.25">
      <c r="A349" t="s">
        <v>406</v>
      </c>
      <c r="B349" s="1">
        <v>43438</v>
      </c>
      <c r="C349" t="s">
        <v>650</v>
      </c>
      <c r="D349" t="s">
        <v>595</v>
      </c>
      <c r="E349" t="s">
        <v>596</v>
      </c>
    </row>
    <row r="350" spans="1:5" x14ac:dyDescent="0.25">
      <c r="A350" t="s">
        <v>238</v>
      </c>
      <c r="B350" s="1">
        <v>43185</v>
      </c>
      <c r="C350" t="s">
        <v>787</v>
      </c>
      <c r="D350" t="s">
        <v>647</v>
      </c>
      <c r="E350" t="s">
        <v>647</v>
      </c>
    </row>
    <row r="351" spans="1:5" x14ac:dyDescent="0.25">
      <c r="A351" t="s">
        <v>405</v>
      </c>
      <c r="B351" s="1">
        <v>43356</v>
      </c>
      <c r="C351" t="s">
        <v>835</v>
      </c>
      <c r="D351" t="s">
        <v>554</v>
      </c>
      <c r="E351" t="s">
        <v>555</v>
      </c>
    </row>
    <row r="352" spans="1:5" x14ac:dyDescent="0.25">
      <c r="A352" t="s">
        <v>352</v>
      </c>
      <c r="B352" s="1">
        <v>43260</v>
      </c>
      <c r="C352" t="s">
        <v>836</v>
      </c>
      <c r="D352" t="s">
        <v>543</v>
      </c>
      <c r="E352" t="s">
        <v>544</v>
      </c>
    </row>
    <row r="353" spans="1:5" x14ac:dyDescent="0.25">
      <c r="A353" t="s">
        <v>353</v>
      </c>
      <c r="B353" s="1">
        <v>43315</v>
      </c>
      <c r="C353" t="s">
        <v>837</v>
      </c>
      <c r="D353" t="s">
        <v>593</v>
      </c>
      <c r="E353" t="s">
        <v>576</v>
      </c>
    </row>
    <row r="354" spans="1:5" x14ac:dyDescent="0.25">
      <c r="A354" t="s">
        <v>355</v>
      </c>
      <c r="B354" s="1">
        <v>43307</v>
      </c>
      <c r="C354" t="s">
        <v>838</v>
      </c>
      <c r="D354" t="s">
        <v>618</v>
      </c>
      <c r="E354" t="s">
        <v>619</v>
      </c>
    </row>
    <row r="355" spans="1:5" x14ac:dyDescent="0.25">
      <c r="A355" t="s">
        <v>218</v>
      </c>
      <c r="B355" s="1">
        <v>43224</v>
      </c>
      <c r="C355" t="s">
        <v>794</v>
      </c>
      <c r="D355" t="s">
        <v>575</v>
      </c>
      <c r="E355" t="s">
        <v>576</v>
      </c>
    </row>
    <row r="356" spans="1:5" x14ac:dyDescent="0.25">
      <c r="A356" t="s">
        <v>260</v>
      </c>
      <c r="B356" s="1">
        <v>43155</v>
      </c>
      <c r="C356" t="s">
        <v>573</v>
      </c>
      <c r="D356" t="s">
        <v>568</v>
      </c>
      <c r="E356" t="s">
        <v>569</v>
      </c>
    </row>
    <row r="357" spans="1:5" x14ac:dyDescent="0.25">
      <c r="A357" t="s">
        <v>268</v>
      </c>
      <c r="B357" s="1">
        <v>43276</v>
      </c>
      <c r="C357" t="s">
        <v>839</v>
      </c>
      <c r="D357" t="s">
        <v>543</v>
      </c>
      <c r="E357" t="s">
        <v>544</v>
      </c>
    </row>
    <row r="358" spans="1:5" x14ac:dyDescent="0.25">
      <c r="A358" t="s">
        <v>490</v>
      </c>
      <c r="B358" s="1">
        <v>43145</v>
      </c>
      <c r="C358" t="s">
        <v>722</v>
      </c>
      <c r="D358" t="s">
        <v>618</v>
      </c>
      <c r="E358" t="s">
        <v>619</v>
      </c>
    </row>
    <row r="359" spans="1:5" x14ac:dyDescent="0.25">
      <c r="A359" t="s">
        <v>120</v>
      </c>
      <c r="B359" s="1">
        <v>43280</v>
      </c>
      <c r="C359" t="s">
        <v>840</v>
      </c>
      <c r="D359" t="s">
        <v>543</v>
      </c>
      <c r="E359" t="s">
        <v>544</v>
      </c>
    </row>
    <row r="360" spans="1:5" x14ac:dyDescent="0.25">
      <c r="A360" t="s">
        <v>471</v>
      </c>
      <c r="B360" s="1">
        <v>43383</v>
      </c>
      <c r="C360" t="s">
        <v>841</v>
      </c>
      <c r="D360" t="s">
        <v>543</v>
      </c>
      <c r="E360" t="s">
        <v>544</v>
      </c>
    </row>
    <row r="361" spans="1:5" x14ac:dyDescent="0.25">
      <c r="A361" t="s">
        <v>139</v>
      </c>
      <c r="B361" s="1">
        <v>43389</v>
      </c>
      <c r="C361" t="s">
        <v>681</v>
      </c>
      <c r="D361" t="s">
        <v>618</v>
      </c>
      <c r="E361" t="s">
        <v>619</v>
      </c>
    </row>
    <row r="362" spans="1:5" x14ac:dyDescent="0.25">
      <c r="A362" t="s">
        <v>358</v>
      </c>
      <c r="B362" s="1">
        <v>43428</v>
      </c>
      <c r="C362" t="s">
        <v>714</v>
      </c>
      <c r="D362" t="s">
        <v>595</v>
      </c>
      <c r="E362" t="s">
        <v>596</v>
      </c>
    </row>
    <row r="363" spans="1:5" x14ac:dyDescent="0.25">
      <c r="A363" t="s">
        <v>427</v>
      </c>
      <c r="B363" s="1">
        <v>43244</v>
      </c>
      <c r="C363" t="s">
        <v>690</v>
      </c>
      <c r="D363" t="s">
        <v>571</v>
      </c>
      <c r="E363" t="s">
        <v>572</v>
      </c>
    </row>
    <row r="364" spans="1:5" x14ac:dyDescent="0.25">
      <c r="A364" t="s">
        <v>337</v>
      </c>
      <c r="B364" s="1">
        <v>43374</v>
      </c>
      <c r="C364" t="s">
        <v>842</v>
      </c>
      <c r="D364" t="s">
        <v>543</v>
      </c>
      <c r="E364" t="s">
        <v>551</v>
      </c>
    </row>
    <row r="365" spans="1:5" x14ac:dyDescent="0.25">
      <c r="A365" t="s">
        <v>397</v>
      </c>
      <c r="B365" s="1">
        <v>43101</v>
      </c>
      <c r="C365" t="s">
        <v>843</v>
      </c>
      <c r="D365" t="s">
        <v>568</v>
      </c>
      <c r="E365" t="s">
        <v>569</v>
      </c>
    </row>
    <row r="366" spans="1:5" x14ac:dyDescent="0.25">
      <c r="A366" t="s">
        <v>153</v>
      </c>
      <c r="B366" s="1">
        <v>43148</v>
      </c>
      <c r="C366" t="s">
        <v>796</v>
      </c>
      <c r="D366" t="s">
        <v>580</v>
      </c>
      <c r="E366" t="s">
        <v>581</v>
      </c>
    </row>
    <row r="367" spans="1:5" x14ac:dyDescent="0.25">
      <c r="A367" t="s">
        <v>228</v>
      </c>
      <c r="B367" s="1">
        <v>43175</v>
      </c>
      <c r="C367" t="s">
        <v>844</v>
      </c>
      <c r="D367" t="s">
        <v>543</v>
      </c>
      <c r="E367" t="s">
        <v>544</v>
      </c>
    </row>
    <row r="368" spans="1:5" x14ac:dyDescent="0.25">
      <c r="A368" t="s">
        <v>360</v>
      </c>
      <c r="B368" s="1">
        <v>43430</v>
      </c>
      <c r="C368" t="s">
        <v>845</v>
      </c>
      <c r="D368" t="s">
        <v>575</v>
      </c>
      <c r="E368" t="s">
        <v>638</v>
      </c>
    </row>
    <row r="369" spans="1:5" x14ac:dyDescent="0.25">
      <c r="A369" t="s">
        <v>237</v>
      </c>
      <c r="B369" s="1">
        <v>43438</v>
      </c>
      <c r="C369" t="s">
        <v>846</v>
      </c>
      <c r="D369" t="s">
        <v>546</v>
      </c>
      <c r="E369" t="s">
        <v>547</v>
      </c>
    </row>
    <row r="370" spans="1:5" x14ac:dyDescent="0.25">
      <c r="A370" t="s">
        <v>390</v>
      </c>
      <c r="B370" s="1">
        <v>43389</v>
      </c>
      <c r="C370" t="s">
        <v>847</v>
      </c>
      <c r="D370" t="s">
        <v>595</v>
      </c>
      <c r="E370" t="s">
        <v>635</v>
      </c>
    </row>
    <row r="371" spans="1:5" x14ac:dyDescent="0.25">
      <c r="A371" t="s">
        <v>386</v>
      </c>
      <c r="B371" s="1">
        <v>43437</v>
      </c>
      <c r="C371" t="s">
        <v>663</v>
      </c>
      <c r="D371" t="s">
        <v>559</v>
      </c>
      <c r="E371" t="s">
        <v>560</v>
      </c>
    </row>
    <row r="372" spans="1:5" x14ac:dyDescent="0.25">
      <c r="A372" t="s">
        <v>422</v>
      </c>
      <c r="B372" s="1">
        <v>43425</v>
      </c>
      <c r="C372" t="s">
        <v>848</v>
      </c>
      <c r="D372" t="s">
        <v>559</v>
      </c>
      <c r="E372" t="s">
        <v>560</v>
      </c>
    </row>
    <row r="373" spans="1:5" x14ac:dyDescent="0.25">
      <c r="A373" t="s">
        <v>387</v>
      </c>
      <c r="B373" s="1">
        <v>43216</v>
      </c>
      <c r="C373" t="s">
        <v>849</v>
      </c>
      <c r="D373" t="s">
        <v>546</v>
      </c>
      <c r="E373" t="s">
        <v>547</v>
      </c>
    </row>
    <row r="374" spans="1:5" x14ac:dyDescent="0.25">
      <c r="A374" t="s">
        <v>107</v>
      </c>
      <c r="B374" s="1">
        <v>43205</v>
      </c>
      <c r="C374" t="s">
        <v>787</v>
      </c>
      <c r="D374" t="s">
        <v>647</v>
      </c>
      <c r="E374" t="s">
        <v>647</v>
      </c>
    </row>
    <row r="375" spans="1:5" x14ac:dyDescent="0.25">
      <c r="A375" t="s">
        <v>366</v>
      </c>
      <c r="B375" s="1">
        <v>43123</v>
      </c>
      <c r="C375" t="s">
        <v>850</v>
      </c>
      <c r="D375" t="s">
        <v>595</v>
      </c>
      <c r="E375" t="s">
        <v>596</v>
      </c>
    </row>
    <row r="376" spans="1:5" x14ac:dyDescent="0.25">
      <c r="A376" t="s">
        <v>384</v>
      </c>
      <c r="B376" s="1">
        <v>43378</v>
      </c>
      <c r="C376" t="s">
        <v>649</v>
      </c>
      <c r="D376" t="s">
        <v>543</v>
      </c>
      <c r="E376" t="s">
        <v>544</v>
      </c>
    </row>
    <row r="377" spans="1:5" x14ac:dyDescent="0.25">
      <c r="A377" t="s">
        <v>114</v>
      </c>
      <c r="B377" s="1">
        <v>43419</v>
      </c>
      <c r="C377" t="s">
        <v>773</v>
      </c>
      <c r="D377" t="s">
        <v>612</v>
      </c>
      <c r="E377" t="s">
        <v>613</v>
      </c>
    </row>
    <row r="378" spans="1:5" x14ac:dyDescent="0.25">
      <c r="A378" t="s">
        <v>454</v>
      </c>
      <c r="B378" s="1">
        <v>43181</v>
      </c>
      <c r="C378" t="s">
        <v>851</v>
      </c>
      <c r="D378" t="s">
        <v>627</v>
      </c>
      <c r="E378" t="s">
        <v>628</v>
      </c>
    </row>
    <row r="379" spans="1:5" x14ac:dyDescent="0.25">
      <c r="A379" t="s">
        <v>523</v>
      </c>
      <c r="B379" s="1">
        <v>43380</v>
      </c>
      <c r="C379" t="s">
        <v>852</v>
      </c>
      <c r="D379" t="s">
        <v>537</v>
      </c>
      <c r="E379" t="s">
        <v>607</v>
      </c>
    </row>
    <row r="380" spans="1:5" x14ac:dyDescent="0.25">
      <c r="A380" t="s">
        <v>380</v>
      </c>
      <c r="B380" s="1">
        <v>43310</v>
      </c>
      <c r="C380" t="s">
        <v>673</v>
      </c>
      <c r="D380" t="s">
        <v>546</v>
      </c>
      <c r="E380" t="s">
        <v>547</v>
      </c>
    </row>
    <row r="381" spans="1:5" x14ac:dyDescent="0.25">
      <c r="A381" t="s">
        <v>433</v>
      </c>
      <c r="B381" s="1">
        <v>43428</v>
      </c>
      <c r="C381" t="s">
        <v>853</v>
      </c>
      <c r="D381" t="s">
        <v>595</v>
      </c>
      <c r="E381" t="s">
        <v>596</v>
      </c>
    </row>
    <row r="382" spans="1:5" x14ac:dyDescent="0.25">
      <c r="A382" t="s">
        <v>375</v>
      </c>
      <c r="B382" s="1">
        <v>43104</v>
      </c>
      <c r="C382" t="s">
        <v>854</v>
      </c>
      <c r="D382" t="s">
        <v>546</v>
      </c>
      <c r="E382" t="s">
        <v>547</v>
      </c>
    </row>
    <row r="383" spans="1:5" x14ac:dyDescent="0.25">
      <c r="A383" t="s">
        <v>295</v>
      </c>
      <c r="B383" s="1">
        <v>43451</v>
      </c>
      <c r="C383" t="s">
        <v>855</v>
      </c>
      <c r="D383" t="s">
        <v>540</v>
      </c>
      <c r="E383" t="s">
        <v>540</v>
      </c>
    </row>
    <row r="384" spans="1:5" x14ac:dyDescent="0.25">
      <c r="A384" t="s">
        <v>376</v>
      </c>
      <c r="B384" s="1">
        <v>43450</v>
      </c>
      <c r="C384" t="s">
        <v>856</v>
      </c>
      <c r="D384" t="s">
        <v>540</v>
      </c>
      <c r="E384" t="s">
        <v>540</v>
      </c>
    </row>
    <row r="385" spans="1:5" x14ac:dyDescent="0.25">
      <c r="A385" t="s">
        <v>456</v>
      </c>
      <c r="B385" s="1">
        <v>43393</v>
      </c>
      <c r="C385" t="s">
        <v>857</v>
      </c>
      <c r="D385" t="s">
        <v>546</v>
      </c>
      <c r="E385" t="s">
        <v>547</v>
      </c>
    </row>
    <row r="386" spans="1:5" x14ac:dyDescent="0.25">
      <c r="A386" t="s">
        <v>381</v>
      </c>
      <c r="B386" s="1">
        <v>43287</v>
      </c>
      <c r="C386" t="s">
        <v>758</v>
      </c>
      <c r="D386" t="s">
        <v>546</v>
      </c>
      <c r="E386" t="s">
        <v>578</v>
      </c>
    </row>
    <row r="387" spans="1:5" x14ac:dyDescent="0.25">
      <c r="A387" t="s">
        <v>382</v>
      </c>
      <c r="B387" s="1">
        <v>43419</v>
      </c>
      <c r="C387" t="s">
        <v>858</v>
      </c>
      <c r="D387" t="s">
        <v>543</v>
      </c>
      <c r="E387" t="s">
        <v>544</v>
      </c>
    </row>
    <row r="388" spans="1:5" x14ac:dyDescent="0.25">
      <c r="A388" t="s">
        <v>365</v>
      </c>
      <c r="B388" s="1">
        <v>43455</v>
      </c>
      <c r="C388" t="s">
        <v>753</v>
      </c>
      <c r="D388" t="s">
        <v>543</v>
      </c>
      <c r="E388" t="s">
        <v>544</v>
      </c>
    </row>
    <row r="389" spans="1:5" x14ac:dyDescent="0.25">
      <c r="A389" t="s">
        <v>446</v>
      </c>
      <c r="B389" s="1">
        <v>43164</v>
      </c>
      <c r="C389" t="s">
        <v>587</v>
      </c>
      <c r="D389" t="s">
        <v>546</v>
      </c>
      <c r="E389" t="s">
        <v>578</v>
      </c>
    </row>
    <row r="390" spans="1:5" x14ac:dyDescent="0.25">
      <c r="A390" t="s">
        <v>363</v>
      </c>
      <c r="B390" s="1">
        <v>43458</v>
      </c>
      <c r="C390" t="s">
        <v>859</v>
      </c>
      <c r="D390" t="s">
        <v>537</v>
      </c>
      <c r="E390" t="s">
        <v>549</v>
      </c>
    </row>
    <row r="391" spans="1:5" x14ac:dyDescent="0.25">
      <c r="A391" t="s">
        <v>279</v>
      </c>
      <c r="B391" s="1">
        <v>43275</v>
      </c>
      <c r="C391" t="s">
        <v>860</v>
      </c>
      <c r="D391" t="s">
        <v>537</v>
      </c>
      <c r="E391" t="s">
        <v>607</v>
      </c>
    </row>
    <row r="392" spans="1:5" x14ac:dyDescent="0.25">
      <c r="A392" t="s">
        <v>42</v>
      </c>
      <c r="B392" s="1">
        <v>43311</v>
      </c>
      <c r="C392" t="s">
        <v>861</v>
      </c>
      <c r="D392" t="s">
        <v>537</v>
      </c>
      <c r="E392" t="s">
        <v>607</v>
      </c>
    </row>
    <row r="393" spans="1:5" x14ac:dyDescent="0.25">
      <c r="A393" t="s">
        <v>210</v>
      </c>
      <c r="B393" s="1">
        <v>43277</v>
      </c>
      <c r="C393" t="s">
        <v>862</v>
      </c>
      <c r="D393" t="s">
        <v>546</v>
      </c>
      <c r="E393" t="s">
        <v>547</v>
      </c>
    </row>
    <row r="394" spans="1:5" x14ac:dyDescent="0.25">
      <c r="A394" t="s">
        <v>441</v>
      </c>
      <c r="B394" s="1">
        <v>43186</v>
      </c>
      <c r="C394" t="s">
        <v>761</v>
      </c>
      <c r="D394" t="s">
        <v>559</v>
      </c>
      <c r="E394" t="s">
        <v>566</v>
      </c>
    </row>
    <row r="395" spans="1:5" x14ac:dyDescent="0.25">
      <c r="A395" t="s">
        <v>354</v>
      </c>
      <c r="B395" s="1">
        <v>43182</v>
      </c>
      <c r="C395" t="s">
        <v>678</v>
      </c>
      <c r="D395" t="s">
        <v>537</v>
      </c>
      <c r="E395" t="s">
        <v>607</v>
      </c>
    </row>
    <row r="396" spans="1:5" x14ac:dyDescent="0.25">
      <c r="A396" t="s">
        <v>198</v>
      </c>
      <c r="B396" s="1">
        <v>43387</v>
      </c>
      <c r="C396" t="s">
        <v>863</v>
      </c>
      <c r="D396" t="s">
        <v>546</v>
      </c>
      <c r="E396" t="s">
        <v>547</v>
      </c>
    </row>
    <row r="397" spans="1:5" x14ac:dyDescent="0.25">
      <c r="A397" t="s">
        <v>251</v>
      </c>
      <c r="B397" s="1">
        <v>43407</v>
      </c>
      <c r="C397" t="s">
        <v>864</v>
      </c>
      <c r="D397" t="s">
        <v>575</v>
      </c>
      <c r="E397" t="s">
        <v>576</v>
      </c>
    </row>
    <row r="398" spans="1:5" x14ac:dyDescent="0.25">
      <c r="A398" t="s">
        <v>442</v>
      </c>
      <c r="B398" s="1">
        <v>43143</v>
      </c>
      <c r="C398" t="s">
        <v>630</v>
      </c>
      <c r="D398" t="s">
        <v>559</v>
      </c>
      <c r="E398" t="s">
        <v>566</v>
      </c>
    </row>
    <row r="399" spans="1:5" x14ac:dyDescent="0.25">
      <c r="A399" t="s">
        <v>393</v>
      </c>
      <c r="B399" s="1">
        <v>43214</v>
      </c>
      <c r="C399" t="s">
        <v>810</v>
      </c>
      <c r="D399" t="s">
        <v>593</v>
      </c>
      <c r="E399" t="s">
        <v>576</v>
      </c>
    </row>
    <row r="400" spans="1:5" x14ac:dyDescent="0.25">
      <c r="A400" t="s">
        <v>396</v>
      </c>
      <c r="B400" s="1">
        <v>43196</v>
      </c>
      <c r="C400" t="s">
        <v>746</v>
      </c>
      <c r="D400" t="s">
        <v>598</v>
      </c>
      <c r="E400" t="s">
        <v>599</v>
      </c>
    </row>
    <row r="401" spans="1:5" x14ac:dyDescent="0.25">
      <c r="A401" t="s">
        <v>466</v>
      </c>
      <c r="B401" s="1">
        <v>43322</v>
      </c>
      <c r="C401" t="s">
        <v>656</v>
      </c>
      <c r="D401" t="s">
        <v>543</v>
      </c>
      <c r="E401" t="s">
        <v>551</v>
      </c>
    </row>
    <row r="402" spans="1:5" x14ac:dyDescent="0.25">
      <c r="A402" t="s">
        <v>398</v>
      </c>
      <c r="B402" s="1">
        <v>43139</v>
      </c>
      <c r="C402" t="s">
        <v>865</v>
      </c>
      <c r="D402" t="s">
        <v>618</v>
      </c>
      <c r="E402" t="s">
        <v>619</v>
      </c>
    </row>
    <row r="403" spans="1:5" x14ac:dyDescent="0.25">
      <c r="A403" t="s">
        <v>347</v>
      </c>
      <c r="B403" s="1">
        <v>43407</v>
      </c>
      <c r="C403" t="s">
        <v>866</v>
      </c>
      <c r="D403" t="s">
        <v>546</v>
      </c>
      <c r="E403" t="s">
        <v>547</v>
      </c>
    </row>
    <row r="404" spans="1:5" x14ac:dyDescent="0.25">
      <c r="A404" t="s">
        <v>402</v>
      </c>
      <c r="B404" s="1">
        <v>43423</v>
      </c>
      <c r="C404" t="s">
        <v>867</v>
      </c>
      <c r="D404" t="s">
        <v>584</v>
      </c>
      <c r="E404" t="s">
        <v>585</v>
      </c>
    </row>
    <row r="405" spans="1:5" x14ac:dyDescent="0.25">
      <c r="A405" t="s">
        <v>342</v>
      </c>
      <c r="B405" s="1">
        <v>43175</v>
      </c>
      <c r="C405" t="s">
        <v>610</v>
      </c>
      <c r="D405" t="s">
        <v>543</v>
      </c>
      <c r="E405" t="s">
        <v>551</v>
      </c>
    </row>
    <row r="406" spans="1:5" x14ac:dyDescent="0.25">
      <c r="A406" t="s">
        <v>445</v>
      </c>
      <c r="B406" s="1">
        <v>43419</v>
      </c>
      <c r="C406" t="s">
        <v>868</v>
      </c>
      <c r="D406" t="s">
        <v>546</v>
      </c>
      <c r="E406" t="s">
        <v>547</v>
      </c>
    </row>
    <row r="407" spans="1:5" x14ac:dyDescent="0.25">
      <c r="A407" t="s">
        <v>338</v>
      </c>
      <c r="B407" s="1">
        <v>43156</v>
      </c>
      <c r="C407" t="s">
        <v>600</v>
      </c>
      <c r="D407" t="s">
        <v>580</v>
      </c>
      <c r="E407" t="s">
        <v>581</v>
      </c>
    </row>
    <row r="408" spans="1:5" x14ac:dyDescent="0.25">
      <c r="A408" t="s">
        <v>464</v>
      </c>
      <c r="B408" s="1">
        <v>43454</v>
      </c>
      <c r="C408" t="s">
        <v>869</v>
      </c>
      <c r="D408" t="s">
        <v>559</v>
      </c>
      <c r="E408" t="s">
        <v>560</v>
      </c>
    </row>
    <row r="409" spans="1:5" x14ac:dyDescent="0.25">
      <c r="A409" t="s">
        <v>462</v>
      </c>
      <c r="B409" s="1">
        <v>43186</v>
      </c>
      <c r="C409" t="s">
        <v>774</v>
      </c>
      <c r="D409" t="s">
        <v>584</v>
      </c>
      <c r="E409" t="s">
        <v>585</v>
      </c>
    </row>
    <row r="410" spans="1:5" x14ac:dyDescent="0.25">
      <c r="A410" t="s">
        <v>407</v>
      </c>
      <c r="B410" s="1">
        <v>43131</v>
      </c>
      <c r="C410" t="s">
        <v>870</v>
      </c>
      <c r="D410" t="s">
        <v>540</v>
      </c>
      <c r="E410" t="s">
        <v>540</v>
      </c>
    </row>
    <row r="411" spans="1:5" x14ac:dyDescent="0.25">
      <c r="A411" t="s">
        <v>409</v>
      </c>
      <c r="B411" s="1">
        <v>43445</v>
      </c>
      <c r="C411" t="s">
        <v>871</v>
      </c>
      <c r="D411" t="s">
        <v>540</v>
      </c>
      <c r="E411" t="s">
        <v>540</v>
      </c>
    </row>
    <row r="412" spans="1:5" x14ac:dyDescent="0.25">
      <c r="A412" t="s">
        <v>410</v>
      </c>
      <c r="B412" s="1">
        <v>43145</v>
      </c>
      <c r="C412" t="s">
        <v>851</v>
      </c>
      <c r="D412" t="s">
        <v>627</v>
      </c>
      <c r="E412" t="s">
        <v>628</v>
      </c>
    </row>
    <row r="413" spans="1:5" x14ac:dyDescent="0.25">
      <c r="A413" t="s">
        <v>411</v>
      </c>
      <c r="B413" s="1">
        <v>43220</v>
      </c>
      <c r="C413" t="s">
        <v>721</v>
      </c>
      <c r="D413" t="s">
        <v>543</v>
      </c>
      <c r="E413" t="s">
        <v>544</v>
      </c>
    </row>
    <row r="414" spans="1:5" x14ac:dyDescent="0.25">
      <c r="A414" t="s">
        <v>412</v>
      </c>
      <c r="B414" s="1">
        <v>43255</v>
      </c>
      <c r="C414" t="s">
        <v>872</v>
      </c>
      <c r="D414" t="s">
        <v>543</v>
      </c>
      <c r="E414" t="s">
        <v>544</v>
      </c>
    </row>
    <row r="415" spans="1:5" x14ac:dyDescent="0.25">
      <c r="A415" t="s">
        <v>66</v>
      </c>
      <c r="B415" s="1">
        <v>43299</v>
      </c>
      <c r="C415" t="s">
        <v>873</v>
      </c>
      <c r="D415" t="s">
        <v>543</v>
      </c>
      <c r="E415" t="s">
        <v>544</v>
      </c>
    </row>
    <row r="416" spans="1:5" x14ac:dyDescent="0.25">
      <c r="A416" t="s">
        <v>468</v>
      </c>
      <c r="B416" s="1">
        <v>43195</v>
      </c>
      <c r="C416" t="s">
        <v>722</v>
      </c>
      <c r="D416" t="s">
        <v>618</v>
      </c>
      <c r="E416" t="s">
        <v>619</v>
      </c>
    </row>
    <row r="417" spans="1:5" x14ac:dyDescent="0.25">
      <c r="A417" t="s">
        <v>413</v>
      </c>
      <c r="B417" s="1">
        <v>43367</v>
      </c>
      <c r="C417" t="s">
        <v>663</v>
      </c>
      <c r="D417" t="s">
        <v>543</v>
      </c>
      <c r="E417" t="s">
        <v>544</v>
      </c>
    </row>
    <row r="418" spans="1:5" x14ac:dyDescent="0.25">
      <c r="A418" t="s">
        <v>313</v>
      </c>
      <c r="B418" s="1">
        <v>43255</v>
      </c>
      <c r="C418" t="s">
        <v>767</v>
      </c>
      <c r="D418" t="s">
        <v>546</v>
      </c>
      <c r="E418" t="s">
        <v>547</v>
      </c>
    </row>
    <row r="419" spans="1:5" x14ac:dyDescent="0.25">
      <c r="A419" t="s">
        <v>473</v>
      </c>
      <c r="B419" s="1">
        <v>43104</v>
      </c>
      <c r="C419" t="s">
        <v>874</v>
      </c>
      <c r="D419" t="s">
        <v>543</v>
      </c>
      <c r="E419" t="s">
        <v>544</v>
      </c>
    </row>
    <row r="420" spans="1:5" x14ac:dyDescent="0.25">
      <c r="A420" t="s">
        <v>419</v>
      </c>
      <c r="B420" s="1">
        <v>43104</v>
      </c>
      <c r="C420" t="s">
        <v>875</v>
      </c>
      <c r="D420" t="s">
        <v>546</v>
      </c>
      <c r="E420" t="s">
        <v>547</v>
      </c>
    </row>
    <row r="421" spans="1:5" x14ac:dyDescent="0.25">
      <c r="A421" t="s">
        <v>322</v>
      </c>
      <c r="B421" s="1">
        <v>43133</v>
      </c>
      <c r="C421" t="s">
        <v>876</v>
      </c>
      <c r="D421" t="s">
        <v>540</v>
      </c>
      <c r="E421" t="s">
        <v>540</v>
      </c>
    </row>
    <row r="422" spans="1:5" x14ac:dyDescent="0.25">
      <c r="A422" t="s">
        <v>320</v>
      </c>
      <c r="B422" s="1">
        <v>43205</v>
      </c>
      <c r="C422" t="s">
        <v>820</v>
      </c>
      <c r="D422" t="s">
        <v>697</v>
      </c>
      <c r="E422" t="s">
        <v>698</v>
      </c>
    </row>
    <row r="423" spans="1:5" x14ac:dyDescent="0.25">
      <c r="A423" t="s">
        <v>316</v>
      </c>
      <c r="B423" s="1">
        <v>43153</v>
      </c>
      <c r="C423" t="s">
        <v>768</v>
      </c>
      <c r="D423" t="s">
        <v>546</v>
      </c>
      <c r="E423" t="s">
        <v>578</v>
      </c>
    </row>
    <row r="424" spans="1:5" x14ac:dyDescent="0.25">
      <c r="A424" t="s">
        <v>80</v>
      </c>
      <c r="B424" s="1">
        <v>43374</v>
      </c>
      <c r="C424" t="s">
        <v>877</v>
      </c>
      <c r="D424" t="s">
        <v>546</v>
      </c>
      <c r="E424" t="s">
        <v>578</v>
      </c>
    </row>
    <row r="425" spans="1:5" x14ac:dyDescent="0.25">
      <c r="A425" t="s">
        <v>424</v>
      </c>
      <c r="B425" s="1">
        <v>43402</v>
      </c>
      <c r="C425" t="s">
        <v>878</v>
      </c>
      <c r="D425" t="s">
        <v>546</v>
      </c>
      <c r="E425" t="s">
        <v>547</v>
      </c>
    </row>
    <row r="426" spans="1:5" x14ac:dyDescent="0.25">
      <c r="A426" t="s">
        <v>479</v>
      </c>
      <c r="B426" s="1">
        <v>43181</v>
      </c>
      <c r="C426" t="s">
        <v>750</v>
      </c>
      <c r="D426" t="s">
        <v>595</v>
      </c>
      <c r="E426" t="s">
        <v>635</v>
      </c>
    </row>
    <row r="427" spans="1:5" x14ac:dyDescent="0.25">
      <c r="A427" t="s">
        <v>483</v>
      </c>
      <c r="B427" s="1">
        <v>43105</v>
      </c>
      <c r="C427" t="s">
        <v>879</v>
      </c>
      <c r="D427" t="s">
        <v>575</v>
      </c>
      <c r="E427" t="s">
        <v>576</v>
      </c>
    </row>
    <row r="428" spans="1:5" x14ac:dyDescent="0.25">
      <c r="A428" t="s">
        <v>389</v>
      </c>
      <c r="B428" s="1">
        <v>43105</v>
      </c>
      <c r="C428" t="s">
        <v>749</v>
      </c>
      <c r="D428" t="s">
        <v>571</v>
      </c>
      <c r="E428" t="s">
        <v>572</v>
      </c>
    </row>
    <row r="429" spans="1:5" x14ac:dyDescent="0.25">
      <c r="A429" t="s">
        <v>417</v>
      </c>
      <c r="B429" s="1">
        <v>43292</v>
      </c>
      <c r="C429" t="s">
        <v>605</v>
      </c>
      <c r="D429" t="s">
        <v>612</v>
      </c>
      <c r="E429" t="s">
        <v>613</v>
      </c>
    </row>
    <row r="430" spans="1:5" x14ac:dyDescent="0.25">
      <c r="A430" t="s">
        <v>438</v>
      </c>
      <c r="B430" s="1">
        <v>43315</v>
      </c>
      <c r="C430" t="s">
        <v>880</v>
      </c>
      <c r="D430" t="s">
        <v>543</v>
      </c>
      <c r="E430" t="s">
        <v>544</v>
      </c>
    </row>
    <row r="431" spans="1:5" x14ac:dyDescent="0.25">
      <c r="A431" t="s">
        <v>437</v>
      </c>
      <c r="B431" s="1">
        <v>43339</v>
      </c>
      <c r="C431" t="s">
        <v>881</v>
      </c>
      <c r="D431" t="s">
        <v>559</v>
      </c>
      <c r="E431" t="s">
        <v>566</v>
      </c>
    </row>
    <row r="432" spans="1:5" x14ac:dyDescent="0.25">
      <c r="A432" t="s">
        <v>304</v>
      </c>
      <c r="B432" s="1">
        <v>43426</v>
      </c>
      <c r="C432" t="s">
        <v>830</v>
      </c>
      <c r="D432" t="s">
        <v>543</v>
      </c>
      <c r="E432" t="s">
        <v>544</v>
      </c>
    </row>
    <row r="433" spans="1:5" x14ac:dyDescent="0.25">
      <c r="A433" t="s">
        <v>439</v>
      </c>
      <c r="B433" s="1">
        <v>43428</v>
      </c>
      <c r="C433" t="s">
        <v>609</v>
      </c>
      <c r="D433" t="s">
        <v>546</v>
      </c>
      <c r="E433" t="s">
        <v>547</v>
      </c>
    </row>
    <row r="434" spans="1:5" x14ac:dyDescent="0.25">
      <c r="A434" t="s">
        <v>293</v>
      </c>
      <c r="B434" s="1">
        <v>43464</v>
      </c>
      <c r="C434" t="s">
        <v>882</v>
      </c>
      <c r="D434" t="s">
        <v>546</v>
      </c>
      <c r="E434" t="s">
        <v>547</v>
      </c>
    </row>
    <row r="435" spans="1:5" x14ac:dyDescent="0.25">
      <c r="A435" t="s">
        <v>443</v>
      </c>
      <c r="B435" s="1">
        <v>43180</v>
      </c>
      <c r="C435" t="s">
        <v>630</v>
      </c>
      <c r="D435" t="s">
        <v>559</v>
      </c>
      <c r="E435" t="s">
        <v>566</v>
      </c>
    </row>
    <row r="436" spans="1:5" x14ac:dyDescent="0.25">
      <c r="A436" t="s">
        <v>451</v>
      </c>
      <c r="B436" s="1">
        <v>43213</v>
      </c>
      <c r="C436" t="s">
        <v>676</v>
      </c>
      <c r="D436" t="s">
        <v>546</v>
      </c>
      <c r="E436" t="s">
        <v>547</v>
      </c>
    </row>
    <row r="437" spans="1:5" x14ac:dyDescent="0.25">
      <c r="A437" t="s">
        <v>193</v>
      </c>
      <c r="B437" s="1">
        <v>43106</v>
      </c>
      <c r="C437" t="s">
        <v>883</v>
      </c>
      <c r="D437" t="s">
        <v>647</v>
      </c>
      <c r="E437" t="s">
        <v>647</v>
      </c>
    </row>
    <row r="438" spans="1:5" x14ac:dyDescent="0.25">
      <c r="A438" t="s">
        <v>447</v>
      </c>
      <c r="B438" s="1">
        <v>43163</v>
      </c>
      <c r="C438" t="s">
        <v>849</v>
      </c>
      <c r="D438" t="s">
        <v>546</v>
      </c>
      <c r="E438" t="s">
        <v>547</v>
      </c>
    </row>
    <row r="439" spans="1:5" x14ac:dyDescent="0.25">
      <c r="A439" t="s">
        <v>450</v>
      </c>
      <c r="B439" s="1">
        <v>43176</v>
      </c>
      <c r="C439" t="s">
        <v>827</v>
      </c>
      <c r="D439" t="s">
        <v>618</v>
      </c>
      <c r="E439" t="s">
        <v>619</v>
      </c>
    </row>
    <row r="440" spans="1:5" x14ac:dyDescent="0.25">
      <c r="A440" t="s">
        <v>452</v>
      </c>
      <c r="B440" s="1">
        <v>43151</v>
      </c>
      <c r="C440" t="s">
        <v>774</v>
      </c>
      <c r="D440" t="s">
        <v>584</v>
      </c>
      <c r="E440" t="s">
        <v>585</v>
      </c>
    </row>
    <row r="441" spans="1:5" x14ac:dyDescent="0.25">
      <c r="A441" t="s">
        <v>399</v>
      </c>
      <c r="B441" s="1">
        <v>43119</v>
      </c>
      <c r="C441" t="s">
        <v>884</v>
      </c>
      <c r="D441" t="s">
        <v>543</v>
      </c>
      <c r="E441" t="s">
        <v>544</v>
      </c>
    </row>
    <row r="442" spans="1:5" x14ac:dyDescent="0.25">
      <c r="A442" t="s">
        <v>457</v>
      </c>
      <c r="B442" s="1">
        <v>43460</v>
      </c>
      <c r="C442" t="s">
        <v>885</v>
      </c>
      <c r="D442" t="s">
        <v>559</v>
      </c>
      <c r="E442" t="s">
        <v>560</v>
      </c>
    </row>
    <row r="443" spans="1:5" x14ac:dyDescent="0.25">
      <c r="A443" t="s">
        <v>459</v>
      </c>
      <c r="B443" s="1">
        <v>43420</v>
      </c>
      <c r="C443" t="s">
        <v>779</v>
      </c>
      <c r="D443" t="s">
        <v>571</v>
      </c>
      <c r="E443" t="s">
        <v>572</v>
      </c>
    </row>
    <row r="444" spans="1:5" x14ac:dyDescent="0.25">
      <c r="A444" t="s">
        <v>151</v>
      </c>
      <c r="B444" s="1">
        <v>43196</v>
      </c>
      <c r="C444" t="s">
        <v>851</v>
      </c>
      <c r="D444" t="s">
        <v>627</v>
      </c>
      <c r="E444" t="s">
        <v>628</v>
      </c>
    </row>
    <row r="445" spans="1:5" x14ac:dyDescent="0.25">
      <c r="A445" t="s">
        <v>460</v>
      </c>
      <c r="B445" s="1">
        <v>43351</v>
      </c>
      <c r="C445" t="s">
        <v>886</v>
      </c>
      <c r="D445" t="s">
        <v>593</v>
      </c>
      <c r="E445" t="s">
        <v>576</v>
      </c>
    </row>
    <row r="446" spans="1:5" x14ac:dyDescent="0.25">
      <c r="A446" t="s">
        <v>303</v>
      </c>
      <c r="B446" s="1">
        <v>43135</v>
      </c>
      <c r="C446" t="s">
        <v>887</v>
      </c>
      <c r="D446" t="s">
        <v>595</v>
      </c>
      <c r="E446" t="s">
        <v>596</v>
      </c>
    </row>
    <row r="447" spans="1:5" x14ac:dyDescent="0.25">
      <c r="A447" t="s">
        <v>137</v>
      </c>
      <c r="B447" s="1">
        <v>43174</v>
      </c>
      <c r="C447" t="s">
        <v>797</v>
      </c>
      <c r="D447" t="s">
        <v>647</v>
      </c>
      <c r="E447" t="s">
        <v>647</v>
      </c>
    </row>
    <row r="448" spans="1:5" x14ac:dyDescent="0.25">
      <c r="A448" t="s">
        <v>465</v>
      </c>
      <c r="B448" s="1">
        <v>43298</v>
      </c>
      <c r="C448" t="s">
        <v>888</v>
      </c>
      <c r="D448" t="s">
        <v>571</v>
      </c>
      <c r="E448" t="s">
        <v>572</v>
      </c>
    </row>
    <row r="449" spans="1:5" x14ac:dyDescent="0.25">
      <c r="A449" t="s">
        <v>280</v>
      </c>
      <c r="B449" s="1">
        <v>43352</v>
      </c>
      <c r="C449" t="s">
        <v>889</v>
      </c>
      <c r="D449" t="s">
        <v>543</v>
      </c>
      <c r="E449" t="s">
        <v>544</v>
      </c>
    </row>
    <row r="450" spans="1:5" x14ac:dyDescent="0.25">
      <c r="A450" t="s">
        <v>283</v>
      </c>
      <c r="B450" s="1">
        <v>43153</v>
      </c>
      <c r="C450" t="s">
        <v>727</v>
      </c>
      <c r="D450" t="s">
        <v>595</v>
      </c>
      <c r="E450" t="s">
        <v>635</v>
      </c>
    </row>
    <row r="451" spans="1:5" x14ac:dyDescent="0.25">
      <c r="A451" t="s">
        <v>482</v>
      </c>
      <c r="B451" s="1">
        <v>43281</v>
      </c>
      <c r="C451" t="s">
        <v>662</v>
      </c>
      <c r="D451" t="s">
        <v>546</v>
      </c>
      <c r="E451" t="s">
        <v>547</v>
      </c>
    </row>
    <row r="452" spans="1:5" x14ac:dyDescent="0.25">
      <c r="A452" t="s">
        <v>236</v>
      </c>
      <c r="B452" s="1">
        <v>43214</v>
      </c>
      <c r="C452" t="s">
        <v>573</v>
      </c>
      <c r="D452" t="s">
        <v>568</v>
      </c>
      <c r="E452" t="s">
        <v>569</v>
      </c>
    </row>
    <row r="453" spans="1:5" x14ac:dyDescent="0.25">
      <c r="A453" t="s">
        <v>266</v>
      </c>
      <c r="B453" s="1">
        <v>43309</v>
      </c>
      <c r="C453" t="s">
        <v>890</v>
      </c>
      <c r="D453" t="s">
        <v>543</v>
      </c>
      <c r="E453" t="s">
        <v>544</v>
      </c>
    </row>
    <row r="454" spans="1:5" x14ac:dyDescent="0.25">
      <c r="A454" t="s">
        <v>377</v>
      </c>
      <c r="B454" s="1">
        <v>43223</v>
      </c>
      <c r="C454" t="s">
        <v>692</v>
      </c>
      <c r="D454" t="s">
        <v>580</v>
      </c>
      <c r="E454" t="s">
        <v>581</v>
      </c>
    </row>
    <row r="455" spans="1:5" x14ac:dyDescent="0.25">
      <c r="A455" t="s">
        <v>480</v>
      </c>
      <c r="B455" s="1">
        <v>43366</v>
      </c>
      <c r="C455" t="s">
        <v>891</v>
      </c>
      <c r="D455" t="s">
        <v>568</v>
      </c>
      <c r="E455" t="s">
        <v>569</v>
      </c>
    </row>
    <row r="456" spans="1:5" x14ac:dyDescent="0.25">
      <c r="A456" t="s">
        <v>351</v>
      </c>
      <c r="B456" s="1">
        <v>43282</v>
      </c>
      <c r="C456" t="s">
        <v>892</v>
      </c>
      <c r="D456" t="s">
        <v>546</v>
      </c>
      <c r="E456" t="s">
        <v>547</v>
      </c>
    </row>
    <row r="457" spans="1:5" x14ac:dyDescent="0.25">
      <c r="A457" t="s">
        <v>160</v>
      </c>
      <c r="B457" s="1">
        <v>43449</v>
      </c>
      <c r="C457" t="s">
        <v>893</v>
      </c>
      <c r="D457" t="s">
        <v>546</v>
      </c>
      <c r="E457" t="s">
        <v>578</v>
      </c>
    </row>
    <row r="458" spans="1:5" x14ac:dyDescent="0.25">
      <c r="A458" t="s">
        <v>373</v>
      </c>
      <c r="B458" s="1">
        <v>43350</v>
      </c>
      <c r="C458" t="s">
        <v>894</v>
      </c>
      <c r="D458" t="s">
        <v>575</v>
      </c>
      <c r="E458" t="s">
        <v>576</v>
      </c>
    </row>
    <row r="459" spans="1:5" x14ac:dyDescent="0.25">
      <c r="A459" t="s">
        <v>331</v>
      </c>
      <c r="B459" s="1">
        <v>43159</v>
      </c>
      <c r="C459" t="s">
        <v>895</v>
      </c>
      <c r="D459" t="s">
        <v>571</v>
      </c>
      <c r="E459" t="s">
        <v>572</v>
      </c>
    </row>
    <row r="460" spans="1:5" x14ac:dyDescent="0.25">
      <c r="A460" t="s">
        <v>501</v>
      </c>
      <c r="B460" s="1">
        <v>43383</v>
      </c>
      <c r="C460" t="s">
        <v>668</v>
      </c>
      <c r="D460" t="s">
        <v>584</v>
      </c>
      <c r="E460" t="s">
        <v>585</v>
      </c>
    </row>
    <row r="461" spans="1:5" x14ac:dyDescent="0.25">
      <c r="A461" t="s">
        <v>491</v>
      </c>
      <c r="B461" s="1">
        <v>43391</v>
      </c>
      <c r="C461" t="s">
        <v>896</v>
      </c>
      <c r="D461" t="s">
        <v>598</v>
      </c>
      <c r="E461" t="s">
        <v>599</v>
      </c>
    </row>
    <row r="462" spans="1:5" x14ac:dyDescent="0.25">
      <c r="A462" t="s">
        <v>488</v>
      </c>
      <c r="B462" s="1">
        <v>43180</v>
      </c>
      <c r="C462" t="s">
        <v>897</v>
      </c>
      <c r="D462" t="s">
        <v>543</v>
      </c>
      <c r="E462" t="s">
        <v>551</v>
      </c>
    </row>
    <row r="463" spans="1:5" x14ac:dyDescent="0.25">
      <c r="A463" t="s">
        <v>388</v>
      </c>
      <c r="B463" s="1">
        <v>43358</v>
      </c>
      <c r="C463" t="s">
        <v>720</v>
      </c>
      <c r="D463" t="s">
        <v>546</v>
      </c>
      <c r="E463" t="s">
        <v>547</v>
      </c>
    </row>
    <row r="464" spans="1:5" x14ac:dyDescent="0.25">
      <c r="A464" t="s">
        <v>494</v>
      </c>
      <c r="B464" s="1">
        <v>43163</v>
      </c>
      <c r="C464" t="s">
        <v>707</v>
      </c>
      <c r="D464" t="s">
        <v>543</v>
      </c>
      <c r="E464" t="s">
        <v>544</v>
      </c>
    </row>
    <row r="465" spans="1:5" x14ac:dyDescent="0.25">
      <c r="A465" t="s">
        <v>496</v>
      </c>
      <c r="B465" s="1">
        <v>43266</v>
      </c>
      <c r="C465" t="s">
        <v>898</v>
      </c>
      <c r="D465" t="s">
        <v>546</v>
      </c>
      <c r="E465" t="s">
        <v>547</v>
      </c>
    </row>
    <row r="466" spans="1:5" x14ac:dyDescent="0.25">
      <c r="A466" t="s">
        <v>435</v>
      </c>
      <c r="B466" s="1">
        <v>43282</v>
      </c>
      <c r="C466" t="s">
        <v>899</v>
      </c>
      <c r="D466" t="s">
        <v>647</v>
      </c>
      <c r="E466" t="s">
        <v>647</v>
      </c>
    </row>
    <row r="467" spans="1:5" x14ac:dyDescent="0.25">
      <c r="A467" t="s">
        <v>367</v>
      </c>
      <c r="B467" s="1">
        <v>43312</v>
      </c>
      <c r="C467" t="s">
        <v>900</v>
      </c>
      <c r="D467" t="s">
        <v>543</v>
      </c>
      <c r="E467" t="s">
        <v>544</v>
      </c>
    </row>
    <row r="468" spans="1:5" x14ac:dyDescent="0.25">
      <c r="A468" t="s">
        <v>206</v>
      </c>
      <c r="B468" s="1">
        <v>43296</v>
      </c>
      <c r="C468" t="s">
        <v>901</v>
      </c>
      <c r="D468" t="s">
        <v>575</v>
      </c>
      <c r="E468" t="s">
        <v>576</v>
      </c>
    </row>
    <row r="469" spans="1:5" x14ac:dyDescent="0.25">
      <c r="A469" t="s">
        <v>498</v>
      </c>
      <c r="B469" s="1">
        <v>43445</v>
      </c>
      <c r="C469" t="s">
        <v>902</v>
      </c>
      <c r="D469" t="s">
        <v>546</v>
      </c>
      <c r="E469" t="s">
        <v>578</v>
      </c>
    </row>
    <row r="470" spans="1:5" x14ac:dyDescent="0.25">
      <c r="A470" t="s">
        <v>356</v>
      </c>
      <c r="B470" s="1">
        <v>43293</v>
      </c>
      <c r="C470" t="s">
        <v>833</v>
      </c>
      <c r="D470" t="s">
        <v>546</v>
      </c>
      <c r="E470" t="s">
        <v>547</v>
      </c>
    </row>
    <row r="471" spans="1:5" x14ac:dyDescent="0.25">
      <c r="A471" t="s">
        <v>499</v>
      </c>
      <c r="B471" s="1">
        <v>43144</v>
      </c>
      <c r="C471" t="s">
        <v>616</v>
      </c>
      <c r="D471" t="s">
        <v>546</v>
      </c>
      <c r="E471" t="s">
        <v>578</v>
      </c>
    </row>
    <row r="472" spans="1:5" x14ac:dyDescent="0.25">
      <c r="A472" t="s">
        <v>504</v>
      </c>
      <c r="B472" s="1">
        <v>43161</v>
      </c>
      <c r="C472" t="s">
        <v>753</v>
      </c>
      <c r="D472" t="s">
        <v>647</v>
      </c>
      <c r="E472" t="s">
        <v>647</v>
      </c>
    </row>
    <row r="473" spans="1:5" x14ac:dyDescent="0.25">
      <c r="A473" t="s">
        <v>506</v>
      </c>
      <c r="B473" s="1">
        <v>43225</v>
      </c>
      <c r="C473" t="s">
        <v>903</v>
      </c>
      <c r="D473" t="s">
        <v>593</v>
      </c>
      <c r="E473" t="s">
        <v>576</v>
      </c>
    </row>
    <row r="474" spans="1:5" x14ac:dyDescent="0.25">
      <c r="A474" t="s">
        <v>181</v>
      </c>
      <c r="B474" s="1">
        <v>43234</v>
      </c>
      <c r="C474" t="s">
        <v>804</v>
      </c>
      <c r="D474" t="s">
        <v>595</v>
      </c>
      <c r="E474" t="s">
        <v>635</v>
      </c>
    </row>
    <row r="475" spans="1:5" x14ac:dyDescent="0.25">
      <c r="A475" t="s">
        <v>512</v>
      </c>
      <c r="B475" s="1">
        <v>43248</v>
      </c>
      <c r="C475" t="s">
        <v>904</v>
      </c>
      <c r="D475" t="s">
        <v>554</v>
      </c>
      <c r="E475" t="s">
        <v>555</v>
      </c>
    </row>
    <row r="476" spans="1:5" x14ac:dyDescent="0.25">
      <c r="A476" t="s">
        <v>509</v>
      </c>
      <c r="B476" s="1">
        <v>43212</v>
      </c>
      <c r="C476" t="s">
        <v>702</v>
      </c>
      <c r="D476" t="s">
        <v>598</v>
      </c>
      <c r="E476" t="s">
        <v>599</v>
      </c>
    </row>
    <row r="477" spans="1:5" x14ac:dyDescent="0.25">
      <c r="A477" t="s">
        <v>511</v>
      </c>
      <c r="B477" s="1">
        <v>43432</v>
      </c>
      <c r="C477" t="s">
        <v>905</v>
      </c>
      <c r="D477" t="s">
        <v>543</v>
      </c>
      <c r="E477" t="s">
        <v>544</v>
      </c>
    </row>
    <row r="478" spans="1:5" x14ac:dyDescent="0.25">
      <c r="A478" t="s">
        <v>369</v>
      </c>
      <c r="B478" s="1">
        <v>43217</v>
      </c>
      <c r="C478" t="s">
        <v>617</v>
      </c>
      <c r="D478" t="s">
        <v>618</v>
      </c>
      <c r="E478" t="s">
        <v>619</v>
      </c>
    </row>
    <row r="479" spans="1:5" x14ac:dyDescent="0.25">
      <c r="A479" t="s">
        <v>519</v>
      </c>
      <c r="B479" s="1">
        <v>43405</v>
      </c>
      <c r="C479" t="s">
        <v>906</v>
      </c>
      <c r="D479" t="s">
        <v>543</v>
      </c>
      <c r="E479" t="s">
        <v>544</v>
      </c>
    </row>
    <row r="480" spans="1:5" x14ac:dyDescent="0.25">
      <c r="A480" t="s">
        <v>195</v>
      </c>
      <c r="B480" s="1">
        <v>43127</v>
      </c>
      <c r="C480" t="s">
        <v>662</v>
      </c>
      <c r="D480" t="s">
        <v>595</v>
      </c>
      <c r="E480" t="s">
        <v>596</v>
      </c>
    </row>
    <row r="481" spans="1:5" x14ac:dyDescent="0.25">
      <c r="A481" t="s">
        <v>455</v>
      </c>
      <c r="B481" s="1">
        <v>43144</v>
      </c>
      <c r="C481" t="s">
        <v>897</v>
      </c>
      <c r="D481" t="s">
        <v>543</v>
      </c>
      <c r="E481" t="s">
        <v>551</v>
      </c>
    </row>
    <row r="482" spans="1:5" x14ac:dyDescent="0.25">
      <c r="A482" t="s">
        <v>156</v>
      </c>
      <c r="B482" s="1">
        <v>43151</v>
      </c>
      <c r="C482" t="s">
        <v>761</v>
      </c>
      <c r="D482" t="s">
        <v>559</v>
      </c>
      <c r="E482" t="s">
        <v>566</v>
      </c>
    </row>
    <row r="483" spans="1:5" x14ac:dyDescent="0.25">
      <c r="A483" t="s">
        <v>520</v>
      </c>
      <c r="B483" s="1">
        <v>43178</v>
      </c>
      <c r="C483" t="s">
        <v>791</v>
      </c>
      <c r="D483" t="s">
        <v>627</v>
      </c>
      <c r="E483" t="s">
        <v>628</v>
      </c>
    </row>
    <row r="484" spans="1:5" x14ac:dyDescent="0.25">
      <c r="A484" t="s">
        <v>357</v>
      </c>
      <c r="B484" s="1">
        <v>43221</v>
      </c>
      <c r="C484" t="s">
        <v>747</v>
      </c>
      <c r="D484" t="s">
        <v>568</v>
      </c>
      <c r="E484" t="s">
        <v>569</v>
      </c>
    </row>
    <row r="485" spans="1:5" x14ac:dyDescent="0.25">
      <c r="A485" t="s">
        <v>475</v>
      </c>
      <c r="B485" s="1">
        <v>43253</v>
      </c>
      <c r="C485" t="s">
        <v>790</v>
      </c>
      <c r="D485" t="s">
        <v>618</v>
      </c>
      <c r="E485" t="s">
        <v>619</v>
      </c>
    </row>
    <row r="486" spans="1:5" x14ac:dyDescent="0.25">
      <c r="A486" t="s">
        <v>147</v>
      </c>
      <c r="B486" s="1">
        <v>43335</v>
      </c>
      <c r="C486" t="s">
        <v>731</v>
      </c>
      <c r="D486" t="s">
        <v>697</v>
      </c>
      <c r="E486" t="s">
        <v>698</v>
      </c>
    </row>
    <row r="487" spans="1:5" x14ac:dyDescent="0.25">
      <c r="A487" t="s">
        <v>517</v>
      </c>
      <c r="B487" s="1">
        <v>43171</v>
      </c>
      <c r="C487" t="s">
        <v>903</v>
      </c>
      <c r="D487" t="s">
        <v>593</v>
      </c>
      <c r="E487" t="s">
        <v>576</v>
      </c>
    </row>
    <row r="488" spans="1:5" x14ac:dyDescent="0.25">
      <c r="A488" t="s">
        <v>138</v>
      </c>
      <c r="B488" s="1">
        <v>43215</v>
      </c>
      <c r="C488" t="s">
        <v>895</v>
      </c>
      <c r="D488" t="s">
        <v>571</v>
      </c>
      <c r="E488" t="s">
        <v>572</v>
      </c>
    </row>
    <row r="489" spans="1:5" x14ac:dyDescent="0.25">
      <c r="A489" t="s">
        <v>110</v>
      </c>
      <c r="B489" s="1">
        <v>43181</v>
      </c>
      <c r="C489" t="s">
        <v>746</v>
      </c>
      <c r="D489" t="s">
        <v>598</v>
      </c>
      <c r="E489" t="s">
        <v>599</v>
      </c>
    </row>
    <row r="490" spans="1:5" x14ac:dyDescent="0.25">
      <c r="A490" t="s">
        <v>95</v>
      </c>
      <c r="B490" s="1">
        <v>43248</v>
      </c>
      <c r="C490" t="s">
        <v>641</v>
      </c>
      <c r="D490" t="s">
        <v>543</v>
      </c>
      <c r="E490" t="s">
        <v>551</v>
      </c>
    </row>
    <row r="491" spans="1:5" x14ac:dyDescent="0.25">
      <c r="A491" t="s">
        <v>93</v>
      </c>
      <c r="B491" s="1">
        <v>43121</v>
      </c>
      <c r="C491" t="s">
        <v>907</v>
      </c>
      <c r="D491" t="s">
        <v>618</v>
      </c>
      <c r="E491" t="s">
        <v>619</v>
      </c>
    </row>
    <row r="492" spans="1:5" x14ac:dyDescent="0.25">
      <c r="A492" t="s">
        <v>421</v>
      </c>
      <c r="B492" s="1">
        <v>43308</v>
      </c>
      <c r="C492" t="s">
        <v>908</v>
      </c>
      <c r="D492" t="s">
        <v>598</v>
      </c>
      <c r="E492" t="s">
        <v>599</v>
      </c>
    </row>
    <row r="493" spans="1:5" x14ac:dyDescent="0.25">
      <c r="A493" t="s">
        <v>372</v>
      </c>
      <c r="B493" s="1">
        <v>43402</v>
      </c>
      <c r="C493" t="s">
        <v>909</v>
      </c>
      <c r="D493" t="s">
        <v>554</v>
      </c>
      <c r="E493" t="s">
        <v>555</v>
      </c>
    </row>
    <row r="494" spans="1:5" x14ac:dyDescent="0.25">
      <c r="A494" t="s">
        <v>86</v>
      </c>
      <c r="B494" s="1">
        <v>43358</v>
      </c>
      <c r="C494" t="s">
        <v>910</v>
      </c>
      <c r="D494" t="s">
        <v>595</v>
      </c>
      <c r="E494" t="s">
        <v>635</v>
      </c>
    </row>
    <row r="495" spans="1:5" x14ac:dyDescent="0.25">
      <c r="A495" t="s">
        <v>525</v>
      </c>
      <c r="B495" s="1">
        <v>43129</v>
      </c>
      <c r="C495" t="s">
        <v>911</v>
      </c>
      <c r="D495" t="s">
        <v>540</v>
      </c>
      <c r="E495" t="s">
        <v>540</v>
      </c>
    </row>
    <row r="496" spans="1:5" x14ac:dyDescent="0.25">
      <c r="A496" t="s">
        <v>68</v>
      </c>
      <c r="B496" s="1">
        <v>43364</v>
      </c>
      <c r="C496" t="s">
        <v>912</v>
      </c>
      <c r="D496" t="s">
        <v>612</v>
      </c>
      <c r="E496" t="s">
        <v>613</v>
      </c>
    </row>
    <row r="497" spans="1:5" x14ac:dyDescent="0.25">
      <c r="A497" t="s">
        <v>368</v>
      </c>
      <c r="B497" s="1">
        <v>43315</v>
      </c>
      <c r="C497" t="s">
        <v>913</v>
      </c>
      <c r="D497" t="s">
        <v>647</v>
      </c>
      <c r="E497" t="s">
        <v>647</v>
      </c>
    </row>
    <row r="498" spans="1:5" x14ac:dyDescent="0.25">
      <c r="A498" t="s">
        <v>245</v>
      </c>
      <c r="B498" s="1">
        <v>43185</v>
      </c>
      <c r="C498" t="s">
        <v>820</v>
      </c>
      <c r="D498" t="s">
        <v>697</v>
      </c>
      <c r="E498" t="s">
        <v>698</v>
      </c>
    </row>
    <row r="499" spans="1:5" x14ac:dyDescent="0.25">
      <c r="A499" t="s">
        <v>531</v>
      </c>
      <c r="B499" s="1">
        <v>43282</v>
      </c>
      <c r="C499" t="s">
        <v>846</v>
      </c>
      <c r="D499" t="s">
        <v>543</v>
      </c>
      <c r="E499" t="s">
        <v>544</v>
      </c>
    </row>
    <row r="500" spans="1:5" x14ac:dyDescent="0.25">
      <c r="A500" t="s">
        <v>530</v>
      </c>
      <c r="B500" s="1">
        <v>43334</v>
      </c>
      <c r="C500" t="s">
        <v>701</v>
      </c>
      <c r="D500" t="s">
        <v>571</v>
      </c>
      <c r="E500" t="s">
        <v>572</v>
      </c>
    </row>
    <row r="501" spans="1:5" x14ac:dyDescent="0.25">
      <c r="A501" t="s">
        <v>40</v>
      </c>
      <c r="B501" s="1">
        <v>43187</v>
      </c>
      <c r="C501" t="s">
        <v>727</v>
      </c>
      <c r="D501" t="s">
        <v>595</v>
      </c>
      <c r="E501" t="s">
        <v>635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2947D-46EC-4D71-960D-E0057BED8B77}">
  <dimension ref="A1:G1501"/>
  <sheetViews>
    <sheetView topLeftCell="A19" zoomScale="125" workbookViewId="0">
      <selection activeCell="F34" sqref="F34"/>
    </sheetView>
  </sheetViews>
  <sheetFormatPr defaultRowHeight="15" x14ac:dyDescent="0.25"/>
  <cols>
    <col min="1" max="1" width="10.85546875" bestFit="1" customWidth="1"/>
    <col min="2" max="2" width="10.28515625" bestFit="1" customWidth="1"/>
    <col min="3" max="3" width="8.28515625" bestFit="1" customWidth="1"/>
    <col min="4" max="4" width="11" bestFit="1" customWidth="1"/>
    <col min="5" max="5" width="11.42578125" bestFit="1" customWidth="1"/>
    <col min="6" max="6" width="16.42578125" bestFit="1" customWidth="1"/>
    <col min="7" max="7" width="16.28515625" bestFit="1" customWidth="1"/>
    <col min="8" max="12" width="11.42578125" bestFit="1" customWidth="1"/>
    <col min="13" max="13" width="16.42578125" bestFit="1" customWidth="1"/>
    <col min="14" max="14" width="13.5703125" bestFit="1" customWidth="1"/>
  </cols>
  <sheetData>
    <row r="1" spans="1:7" x14ac:dyDescent="0.25">
      <c r="A1" t="s">
        <v>0</v>
      </c>
      <c r="B1" t="s">
        <v>1</v>
      </c>
      <c r="C1" t="s">
        <v>2</v>
      </c>
      <c r="D1" t="s">
        <v>3</v>
      </c>
      <c r="E1" t="s">
        <v>4</v>
      </c>
      <c r="F1" t="s">
        <v>5</v>
      </c>
      <c r="G1" t="s">
        <v>6</v>
      </c>
    </row>
    <row r="2" spans="1:7" x14ac:dyDescent="0.25">
      <c r="A2" t="s">
        <v>7</v>
      </c>
      <c r="B2">
        <v>1096</v>
      </c>
      <c r="C2">
        <v>658</v>
      </c>
      <c r="D2">
        <v>7</v>
      </c>
      <c r="E2" t="s">
        <v>8</v>
      </c>
      <c r="F2" t="s">
        <v>9</v>
      </c>
      <c r="G2" t="s">
        <v>10</v>
      </c>
    </row>
    <row r="3" spans="1:7" x14ac:dyDescent="0.25">
      <c r="A3" t="s">
        <v>11</v>
      </c>
      <c r="B3">
        <v>5729</v>
      </c>
      <c r="C3">
        <v>64</v>
      </c>
      <c r="D3">
        <v>14</v>
      </c>
      <c r="E3" t="s">
        <v>12</v>
      </c>
      <c r="F3" t="s">
        <v>13</v>
      </c>
      <c r="G3" t="s">
        <v>14</v>
      </c>
    </row>
    <row r="4" spans="1:7" x14ac:dyDescent="0.25">
      <c r="A4" t="s">
        <v>15</v>
      </c>
      <c r="B4">
        <v>2927</v>
      </c>
      <c r="C4">
        <v>146</v>
      </c>
      <c r="D4">
        <v>8</v>
      </c>
      <c r="E4" t="s">
        <v>12</v>
      </c>
      <c r="F4" t="s">
        <v>16</v>
      </c>
      <c r="G4" t="s">
        <v>14</v>
      </c>
    </row>
    <row r="5" spans="1:7" x14ac:dyDescent="0.25">
      <c r="A5" t="s">
        <v>17</v>
      </c>
      <c r="B5">
        <v>2847</v>
      </c>
      <c r="C5">
        <v>712</v>
      </c>
      <c r="D5">
        <v>8</v>
      </c>
      <c r="E5" t="s">
        <v>8</v>
      </c>
      <c r="F5" t="s">
        <v>18</v>
      </c>
      <c r="G5" t="s">
        <v>19</v>
      </c>
    </row>
    <row r="6" spans="1:7" x14ac:dyDescent="0.25">
      <c r="A6" t="s">
        <v>20</v>
      </c>
      <c r="B6">
        <v>2617</v>
      </c>
      <c r="C6">
        <v>1151</v>
      </c>
      <c r="D6">
        <v>4</v>
      </c>
      <c r="E6" t="s">
        <v>8</v>
      </c>
      <c r="F6" t="s">
        <v>21</v>
      </c>
      <c r="G6" t="s">
        <v>19</v>
      </c>
    </row>
    <row r="7" spans="1:7" x14ac:dyDescent="0.25">
      <c r="A7" t="s">
        <v>22</v>
      </c>
      <c r="B7">
        <v>2244</v>
      </c>
      <c r="C7">
        <v>247</v>
      </c>
      <c r="D7">
        <v>4</v>
      </c>
      <c r="E7" t="s">
        <v>23</v>
      </c>
      <c r="F7" t="s">
        <v>24</v>
      </c>
      <c r="G7" t="s">
        <v>19</v>
      </c>
    </row>
    <row r="8" spans="1:7" x14ac:dyDescent="0.25">
      <c r="A8" t="s">
        <v>25</v>
      </c>
      <c r="B8">
        <v>275</v>
      </c>
      <c r="C8">
        <v>-275</v>
      </c>
      <c r="D8">
        <v>4</v>
      </c>
      <c r="E8" t="s">
        <v>23</v>
      </c>
      <c r="F8" t="s">
        <v>26</v>
      </c>
      <c r="G8" t="s">
        <v>10</v>
      </c>
    </row>
    <row r="9" spans="1:7" x14ac:dyDescent="0.25">
      <c r="A9" t="s">
        <v>27</v>
      </c>
      <c r="B9">
        <v>387</v>
      </c>
      <c r="C9">
        <v>-213</v>
      </c>
      <c r="D9">
        <v>5</v>
      </c>
      <c r="E9" t="s">
        <v>23</v>
      </c>
      <c r="F9" t="s">
        <v>26</v>
      </c>
      <c r="G9" t="s">
        <v>28</v>
      </c>
    </row>
    <row r="10" spans="1:7" x14ac:dyDescent="0.25">
      <c r="A10" t="s">
        <v>29</v>
      </c>
      <c r="B10">
        <v>50</v>
      </c>
      <c r="C10">
        <v>-44</v>
      </c>
      <c r="D10">
        <v>2</v>
      </c>
      <c r="E10" t="s">
        <v>23</v>
      </c>
      <c r="F10" t="s">
        <v>30</v>
      </c>
      <c r="G10" t="s">
        <v>28</v>
      </c>
    </row>
    <row r="11" spans="1:7" x14ac:dyDescent="0.25">
      <c r="A11" t="s">
        <v>31</v>
      </c>
      <c r="B11">
        <v>135</v>
      </c>
      <c r="C11">
        <v>-54</v>
      </c>
      <c r="D11">
        <v>5</v>
      </c>
      <c r="E11" t="s">
        <v>23</v>
      </c>
      <c r="F11" t="s">
        <v>32</v>
      </c>
      <c r="G11" t="s">
        <v>10</v>
      </c>
    </row>
    <row r="12" spans="1:7" x14ac:dyDescent="0.25">
      <c r="A12" t="s">
        <v>33</v>
      </c>
      <c r="B12">
        <v>231</v>
      </c>
      <c r="C12">
        <v>-190</v>
      </c>
      <c r="D12">
        <v>9</v>
      </c>
      <c r="E12" t="s">
        <v>23</v>
      </c>
      <c r="F12" t="s">
        <v>30</v>
      </c>
      <c r="G12" t="s">
        <v>10</v>
      </c>
    </row>
    <row r="13" spans="1:7" x14ac:dyDescent="0.25">
      <c r="A13" t="s">
        <v>34</v>
      </c>
      <c r="B13">
        <v>2125</v>
      </c>
      <c r="C13">
        <v>-234</v>
      </c>
      <c r="D13">
        <v>6</v>
      </c>
      <c r="E13" t="s">
        <v>8</v>
      </c>
      <c r="F13" t="s">
        <v>18</v>
      </c>
      <c r="G13" t="s">
        <v>14</v>
      </c>
    </row>
    <row r="14" spans="1:7" x14ac:dyDescent="0.25">
      <c r="A14" t="s">
        <v>35</v>
      </c>
      <c r="B14">
        <v>3873</v>
      </c>
      <c r="C14">
        <v>-891</v>
      </c>
      <c r="D14">
        <v>6</v>
      </c>
      <c r="E14" t="s">
        <v>8</v>
      </c>
      <c r="F14" t="s">
        <v>21</v>
      </c>
      <c r="G14" t="s">
        <v>19</v>
      </c>
    </row>
    <row r="15" spans="1:7" x14ac:dyDescent="0.25">
      <c r="A15" t="s">
        <v>36</v>
      </c>
      <c r="B15">
        <v>729</v>
      </c>
      <c r="C15">
        <v>-492</v>
      </c>
      <c r="D15">
        <v>5</v>
      </c>
      <c r="E15" t="s">
        <v>12</v>
      </c>
      <c r="F15" t="s">
        <v>16</v>
      </c>
      <c r="G15" t="s">
        <v>28</v>
      </c>
    </row>
    <row r="16" spans="1:7" x14ac:dyDescent="0.25">
      <c r="A16" t="s">
        <v>37</v>
      </c>
      <c r="B16">
        <v>2188</v>
      </c>
      <c r="C16">
        <v>1050</v>
      </c>
      <c r="D16">
        <v>5</v>
      </c>
      <c r="E16" t="s">
        <v>12</v>
      </c>
      <c r="F16" t="s">
        <v>16</v>
      </c>
      <c r="G16" t="s">
        <v>19</v>
      </c>
    </row>
    <row r="17" spans="1:7" x14ac:dyDescent="0.25">
      <c r="A17" t="s">
        <v>38</v>
      </c>
      <c r="B17">
        <v>6</v>
      </c>
      <c r="C17">
        <v>-3</v>
      </c>
      <c r="D17">
        <v>1</v>
      </c>
      <c r="E17" t="s">
        <v>23</v>
      </c>
      <c r="F17" t="s">
        <v>30</v>
      </c>
      <c r="G17" t="s">
        <v>28</v>
      </c>
    </row>
    <row r="18" spans="1:7" x14ac:dyDescent="0.25">
      <c r="A18" t="s">
        <v>39</v>
      </c>
      <c r="B18">
        <v>1854</v>
      </c>
      <c r="C18">
        <v>433</v>
      </c>
      <c r="D18">
        <v>5</v>
      </c>
      <c r="E18" t="s">
        <v>12</v>
      </c>
      <c r="F18" t="s">
        <v>16</v>
      </c>
      <c r="G18" t="s">
        <v>19</v>
      </c>
    </row>
    <row r="19" spans="1:7" x14ac:dyDescent="0.25">
      <c r="A19" t="s">
        <v>40</v>
      </c>
      <c r="B19">
        <v>6</v>
      </c>
      <c r="C19">
        <v>1</v>
      </c>
      <c r="D19">
        <v>1</v>
      </c>
      <c r="E19" t="s">
        <v>23</v>
      </c>
      <c r="F19" t="s">
        <v>32</v>
      </c>
      <c r="G19" t="s">
        <v>28</v>
      </c>
    </row>
    <row r="20" spans="1:7" x14ac:dyDescent="0.25">
      <c r="A20" t="s">
        <v>41</v>
      </c>
      <c r="B20">
        <v>2093</v>
      </c>
      <c r="C20">
        <v>721</v>
      </c>
      <c r="D20">
        <v>5</v>
      </c>
      <c r="E20" t="s">
        <v>12</v>
      </c>
      <c r="F20" t="s">
        <v>13</v>
      </c>
      <c r="G20" t="s">
        <v>19</v>
      </c>
    </row>
    <row r="21" spans="1:7" x14ac:dyDescent="0.25">
      <c r="A21" t="s">
        <v>42</v>
      </c>
      <c r="B21">
        <v>7</v>
      </c>
      <c r="C21">
        <v>-1</v>
      </c>
      <c r="D21">
        <v>2</v>
      </c>
      <c r="E21" t="s">
        <v>23</v>
      </c>
      <c r="F21" t="s">
        <v>43</v>
      </c>
      <c r="G21" t="s">
        <v>28</v>
      </c>
    </row>
    <row r="22" spans="1:7" x14ac:dyDescent="0.25">
      <c r="A22" t="s">
        <v>44</v>
      </c>
      <c r="B22">
        <v>1622</v>
      </c>
      <c r="C22">
        <v>-624</v>
      </c>
      <c r="D22">
        <v>5</v>
      </c>
      <c r="E22" t="s">
        <v>12</v>
      </c>
      <c r="F22" t="s">
        <v>45</v>
      </c>
      <c r="G22" t="s">
        <v>19</v>
      </c>
    </row>
    <row r="23" spans="1:7" x14ac:dyDescent="0.25">
      <c r="A23" t="s">
        <v>46</v>
      </c>
      <c r="B23">
        <v>1622</v>
      </c>
      <c r="C23">
        <v>95</v>
      </c>
      <c r="D23">
        <v>5</v>
      </c>
      <c r="E23" t="s">
        <v>8</v>
      </c>
      <c r="F23" t="s">
        <v>18</v>
      </c>
      <c r="G23" t="s">
        <v>19</v>
      </c>
    </row>
    <row r="24" spans="1:7" x14ac:dyDescent="0.25">
      <c r="A24" t="s">
        <v>47</v>
      </c>
      <c r="B24">
        <v>373</v>
      </c>
      <c r="C24">
        <v>254</v>
      </c>
      <c r="D24">
        <v>6</v>
      </c>
      <c r="E24" t="s">
        <v>8</v>
      </c>
      <c r="F24" t="s">
        <v>18</v>
      </c>
      <c r="G24" t="s">
        <v>28</v>
      </c>
    </row>
    <row r="25" spans="1:7" x14ac:dyDescent="0.25">
      <c r="A25" t="s">
        <v>48</v>
      </c>
      <c r="B25">
        <v>82</v>
      </c>
      <c r="C25">
        <v>-33</v>
      </c>
      <c r="D25">
        <v>4</v>
      </c>
      <c r="E25" t="s">
        <v>23</v>
      </c>
      <c r="F25" t="s">
        <v>32</v>
      </c>
      <c r="G25" t="s">
        <v>10</v>
      </c>
    </row>
    <row r="26" spans="1:7" x14ac:dyDescent="0.25">
      <c r="A26" t="s">
        <v>49</v>
      </c>
      <c r="B26">
        <v>8</v>
      </c>
      <c r="C26">
        <v>2</v>
      </c>
      <c r="D26">
        <v>2</v>
      </c>
      <c r="E26" t="s">
        <v>23</v>
      </c>
      <c r="F26" t="s">
        <v>43</v>
      </c>
      <c r="G26" t="s">
        <v>28</v>
      </c>
    </row>
    <row r="27" spans="1:7" x14ac:dyDescent="0.25">
      <c r="A27" t="s">
        <v>50</v>
      </c>
      <c r="B27">
        <v>1954</v>
      </c>
      <c r="C27">
        <v>782</v>
      </c>
      <c r="D27">
        <v>3</v>
      </c>
      <c r="E27" t="s">
        <v>8</v>
      </c>
      <c r="F27" t="s">
        <v>21</v>
      </c>
      <c r="G27" t="s">
        <v>19</v>
      </c>
    </row>
    <row r="28" spans="1:7" x14ac:dyDescent="0.25">
      <c r="A28" t="s">
        <v>51</v>
      </c>
      <c r="B28">
        <v>1543</v>
      </c>
      <c r="C28">
        <v>370</v>
      </c>
      <c r="D28">
        <v>8</v>
      </c>
      <c r="E28" t="s">
        <v>8</v>
      </c>
      <c r="F28" t="s">
        <v>18</v>
      </c>
      <c r="G28" t="s">
        <v>19</v>
      </c>
    </row>
    <row r="29" spans="1:7" x14ac:dyDescent="0.25">
      <c r="A29" t="s">
        <v>52</v>
      </c>
      <c r="B29">
        <v>1506</v>
      </c>
      <c r="C29">
        <v>-266</v>
      </c>
      <c r="D29">
        <v>6</v>
      </c>
      <c r="E29" t="s">
        <v>8</v>
      </c>
      <c r="F29" t="s">
        <v>18</v>
      </c>
      <c r="G29" t="s">
        <v>19</v>
      </c>
    </row>
    <row r="30" spans="1:7" x14ac:dyDescent="0.25">
      <c r="A30" t="s">
        <v>53</v>
      </c>
      <c r="B30">
        <v>1829</v>
      </c>
      <c r="C30">
        <v>-56</v>
      </c>
      <c r="D30">
        <v>6</v>
      </c>
      <c r="E30" t="s">
        <v>12</v>
      </c>
      <c r="F30" t="s">
        <v>45</v>
      </c>
      <c r="G30" t="s">
        <v>19</v>
      </c>
    </row>
    <row r="31" spans="1:7" x14ac:dyDescent="0.25">
      <c r="A31" t="s">
        <v>54</v>
      </c>
      <c r="B31">
        <v>9</v>
      </c>
      <c r="C31">
        <v>-1</v>
      </c>
      <c r="D31">
        <v>3</v>
      </c>
      <c r="E31" t="s">
        <v>23</v>
      </c>
      <c r="F31" t="s">
        <v>43</v>
      </c>
      <c r="G31" t="s">
        <v>28</v>
      </c>
    </row>
    <row r="32" spans="1:7" x14ac:dyDescent="0.25">
      <c r="A32" t="s">
        <v>55</v>
      </c>
      <c r="B32">
        <v>1461</v>
      </c>
      <c r="C32">
        <v>202</v>
      </c>
      <c r="D32">
        <v>5</v>
      </c>
      <c r="E32" t="s">
        <v>12</v>
      </c>
      <c r="F32" t="s">
        <v>45</v>
      </c>
      <c r="G32" t="s">
        <v>14</v>
      </c>
    </row>
    <row r="33" spans="1:7" x14ac:dyDescent="0.25">
      <c r="A33" t="s">
        <v>56</v>
      </c>
      <c r="B33">
        <v>391</v>
      </c>
      <c r="C33">
        <v>113</v>
      </c>
      <c r="D33">
        <v>8</v>
      </c>
      <c r="E33" t="s">
        <v>23</v>
      </c>
      <c r="F33" t="s">
        <v>57</v>
      </c>
      <c r="G33" t="s">
        <v>10</v>
      </c>
    </row>
    <row r="34" spans="1:7" x14ac:dyDescent="0.25">
      <c r="A34" t="s">
        <v>58</v>
      </c>
      <c r="B34">
        <v>1824</v>
      </c>
      <c r="C34">
        <v>1303</v>
      </c>
      <c r="D34">
        <v>8</v>
      </c>
      <c r="E34" t="s">
        <v>8</v>
      </c>
      <c r="F34" t="s">
        <v>21</v>
      </c>
      <c r="G34" t="s">
        <v>19</v>
      </c>
    </row>
    <row r="35" spans="1:7" x14ac:dyDescent="0.25">
      <c r="A35" t="s">
        <v>59</v>
      </c>
      <c r="B35">
        <v>16</v>
      </c>
      <c r="C35">
        <v>-15</v>
      </c>
      <c r="D35">
        <v>4</v>
      </c>
      <c r="E35" t="s">
        <v>23</v>
      </c>
      <c r="F35" t="s">
        <v>30</v>
      </c>
      <c r="G35" t="s">
        <v>28</v>
      </c>
    </row>
    <row r="36" spans="1:7" x14ac:dyDescent="0.25">
      <c r="A36" t="s">
        <v>60</v>
      </c>
      <c r="B36">
        <v>1745</v>
      </c>
      <c r="C36">
        <v>122</v>
      </c>
      <c r="D36">
        <v>2</v>
      </c>
      <c r="E36" t="s">
        <v>12</v>
      </c>
      <c r="F36" t="s">
        <v>45</v>
      </c>
      <c r="G36" t="s">
        <v>19</v>
      </c>
    </row>
    <row r="37" spans="1:7" x14ac:dyDescent="0.25">
      <c r="A37" t="s">
        <v>61</v>
      </c>
      <c r="B37">
        <v>663</v>
      </c>
      <c r="C37">
        <v>-212</v>
      </c>
      <c r="D37">
        <v>5</v>
      </c>
      <c r="E37" t="s">
        <v>8</v>
      </c>
      <c r="F37" t="s">
        <v>18</v>
      </c>
      <c r="G37" t="s">
        <v>28</v>
      </c>
    </row>
    <row r="38" spans="1:7" x14ac:dyDescent="0.25">
      <c r="A38" t="s">
        <v>62</v>
      </c>
      <c r="B38">
        <v>10</v>
      </c>
      <c r="C38">
        <v>-1</v>
      </c>
      <c r="D38">
        <v>1</v>
      </c>
      <c r="E38" t="s">
        <v>23</v>
      </c>
      <c r="F38" t="s">
        <v>63</v>
      </c>
      <c r="G38" t="s">
        <v>28</v>
      </c>
    </row>
    <row r="39" spans="1:7" x14ac:dyDescent="0.25">
      <c r="A39" t="s">
        <v>64</v>
      </c>
      <c r="B39">
        <v>1630</v>
      </c>
      <c r="C39">
        <v>802</v>
      </c>
      <c r="D39">
        <v>5</v>
      </c>
      <c r="E39" t="s">
        <v>12</v>
      </c>
      <c r="F39" t="s">
        <v>45</v>
      </c>
      <c r="G39" t="s">
        <v>14</v>
      </c>
    </row>
    <row r="40" spans="1:7" x14ac:dyDescent="0.25">
      <c r="A40" t="s">
        <v>65</v>
      </c>
      <c r="B40">
        <v>12</v>
      </c>
      <c r="C40">
        <v>0</v>
      </c>
      <c r="D40">
        <v>2</v>
      </c>
      <c r="E40" t="s">
        <v>23</v>
      </c>
      <c r="F40" t="s">
        <v>30</v>
      </c>
      <c r="G40" t="s">
        <v>28</v>
      </c>
    </row>
    <row r="41" spans="1:7" x14ac:dyDescent="0.25">
      <c r="A41" t="s">
        <v>66</v>
      </c>
      <c r="B41">
        <v>12</v>
      </c>
      <c r="C41">
        <v>-7</v>
      </c>
      <c r="D41">
        <v>2</v>
      </c>
      <c r="E41" t="s">
        <v>23</v>
      </c>
      <c r="F41" t="s">
        <v>63</v>
      </c>
      <c r="G41" t="s">
        <v>28</v>
      </c>
    </row>
    <row r="42" spans="1:7" x14ac:dyDescent="0.25">
      <c r="A42" t="s">
        <v>67</v>
      </c>
      <c r="B42">
        <v>1709</v>
      </c>
      <c r="C42">
        <v>564</v>
      </c>
      <c r="D42">
        <v>3</v>
      </c>
      <c r="E42" t="s">
        <v>23</v>
      </c>
      <c r="F42" t="s">
        <v>24</v>
      </c>
      <c r="G42" t="s">
        <v>19</v>
      </c>
    </row>
    <row r="43" spans="1:7" x14ac:dyDescent="0.25">
      <c r="A43" t="s">
        <v>68</v>
      </c>
      <c r="B43">
        <v>12</v>
      </c>
      <c r="C43">
        <v>3</v>
      </c>
      <c r="D43">
        <v>1</v>
      </c>
      <c r="E43" t="s">
        <v>23</v>
      </c>
      <c r="F43" t="s">
        <v>57</v>
      </c>
      <c r="G43" t="s">
        <v>28</v>
      </c>
    </row>
    <row r="44" spans="1:7" x14ac:dyDescent="0.25">
      <c r="A44" t="s">
        <v>7</v>
      </c>
      <c r="B44">
        <v>1625</v>
      </c>
      <c r="C44">
        <v>-77</v>
      </c>
      <c r="D44">
        <v>3</v>
      </c>
      <c r="E44" t="s">
        <v>8</v>
      </c>
      <c r="F44" t="s">
        <v>21</v>
      </c>
      <c r="G44" t="s">
        <v>14</v>
      </c>
    </row>
    <row r="45" spans="1:7" x14ac:dyDescent="0.25">
      <c r="A45" t="s">
        <v>69</v>
      </c>
      <c r="B45">
        <v>13</v>
      </c>
      <c r="C45">
        <v>5</v>
      </c>
      <c r="D45">
        <v>2</v>
      </c>
      <c r="E45" t="s">
        <v>23</v>
      </c>
      <c r="F45" t="s">
        <v>30</v>
      </c>
      <c r="G45" t="s">
        <v>28</v>
      </c>
    </row>
    <row r="46" spans="1:7" x14ac:dyDescent="0.25">
      <c r="A46" t="s">
        <v>70</v>
      </c>
      <c r="B46">
        <v>1361</v>
      </c>
      <c r="C46">
        <v>980</v>
      </c>
      <c r="D46">
        <v>3</v>
      </c>
      <c r="E46" t="s">
        <v>12</v>
      </c>
      <c r="F46" t="s">
        <v>45</v>
      </c>
      <c r="G46" t="s">
        <v>10</v>
      </c>
    </row>
    <row r="47" spans="1:7" x14ac:dyDescent="0.25">
      <c r="A47" t="s">
        <v>71</v>
      </c>
      <c r="B47">
        <v>1622</v>
      </c>
      <c r="C47">
        <v>-448</v>
      </c>
      <c r="D47">
        <v>3</v>
      </c>
      <c r="E47" t="s">
        <v>8</v>
      </c>
      <c r="F47" t="s">
        <v>21</v>
      </c>
      <c r="G47" t="s">
        <v>14</v>
      </c>
    </row>
    <row r="48" spans="1:7" x14ac:dyDescent="0.25">
      <c r="A48" t="s">
        <v>72</v>
      </c>
      <c r="B48">
        <v>1547</v>
      </c>
      <c r="C48">
        <v>340</v>
      </c>
      <c r="D48">
        <v>6</v>
      </c>
      <c r="E48" t="s">
        <v>8</v>
      </c>
      <c r="F48" t="s">
        <v>73</v>
      </c>
      <c r="G48" t="s">
        <v>14</v>
      </c>
    </row>
    <row r="49" spans="1:7" x14ac:dyDescent="0.25">
      <c r="A49" t="s">
        <v>74</v>
      </c>
      <c r="B49">
        <v>1657</v>
      </c>
      <c r="C49">
        <v>460</v>
      </c>
      <c r="D49">
        <v>4</v>
      </c>
      <c r="E49" t="s">
        <v>12</v>
      </c>
      <c r="F49" t="s">
        <v>13</v>
      </c>
      <c r="G49" t="s">
        <v>19</v>
      </c>
    </row>
    <row r="50" spans="1:7" x14ac:dyDescent="0.25">
      <c r="A50" t="s">
        <v>75</v>
      </c>
      <c r="B50">
        <v>1603</v>
      </c>
      <c r="C50">
        <v>0</v>
      </c>
      <c r="D50">
        <v>9</v>
      </c>
      <c r="E50" t="s">
        <v>23</v>
      </c>
      <c r="F50" t="s">
        <v>26</v>
      </c>
      <c r="G50" t="s">
        <v>19</v>
      </c>
    </row>
    <row r="51" spans="1:7" x14ac:dyDescent="0.25">
      <c r="A51" t="s">
        <v>76</v>
      </c>
      <c r="B51">
        <v>1549</v>
      </c>
      <c r="C51">
        <v>-439</v>
      </c>
      <c r="D51">
        <v>4</v>
      </c>
      <c r="E51" t="s">
        <v>8</v>
      </c>
      <c r="F51" t="s">
        <v>21</v>
      </c>
      <c r="G51" t="s">
        <v>19</v>
      </c>
    </row>
    <row r="52" spans="1:7" x14ac:dyDescent="0.25">
      <c r="A52" t="s">
        <v>77</v>
      </c>
      <c r="B52">
        <v>1183</v>
      </c>
      <c r="C52">
        <v>106</v>
      </c>
      <c r="D52">
        <v>4</v>
      </c>
      <c r="E52" t="s">
        <v>8</v>
      </c>
      <c r="F52" t="s">
        <v>18</v>
      </c>
      <c r="G52" t="s">
        <v>14</v>
      </c>
    </row>
    <row r="53" spans="1:7" x14ac:dyDescent="0.25">
      <c r="A53" t="s">
        <v>38</v>
      </c>
      <c r="B53">
        <v>74</v>
      </c>
      <c r="C53">
        <v>-123</v>
      </c>
      <c r="D53">
        <v>8</v>
      </c>
      <c r="E53" t="s">
        <v>23</v>
      </c>
      <c r="F53" t="s">
        <v>43</v>
      </c>
      <c r="G53" t="s">
        <v>28</v>
      </c>
    </row>
    <row r="54" spans="1:7" x14ac:dyDescent="0.25">
      <c r="A54" t="s">
        <v>78</v>
      </c>
      <c r="B54">
        <v>1499</v>
      </c>
      <c r="C54">
        <v>239</v>
      </c>
      <c r="D54">
        <v>13</v>
      </c>
      <c r="E54" t="s">
        <v>23</v>
      </c>
      <c r="F54" t="s">
        <v>26</v>
      </c>
      <c r="G54" t="s">
        <v>19</v>
      </c>
    </row>
    <row r="55" spans="1:7" x14ac:dyDescent="0.25">
      <c r="A55" t="s">
        <v>79</v>
      </c>
      <c r="B55">
        <v>1120</v>
      </c>
      <c r="C55">
        <v>199</v>
      </c>
      <c r="D55">
        <v>6</v>
      </c>
      <c r="E55" t="s">
        <v>23</v>
      </c>
      <c r="F55" t="s">
        <v>26</v>
      </c>
      <c r="G55" t="s">
        <v>14</v>
      </c>
    </row>
    <row r="56" spans="1:7" x14ac:dyDescent="0.25">
      <c r="A56" t="s">
        <v>80</v>
      </c>
      <c r="B56">
        <v>15</v>
      </c>
      <c r="C56">
        <v>-2</v>
      </c>
      <c r="D56">
        <v>1</v>
      </c>
      <c r="E56" t="s">
        <v>23</v>
      </c>
      <c r="F56" t="s">
        <v>81</v>
      </c>
      <c r="G56" t="s">
        <v>82</v>
      </c>
    </row>
    <row r="57" spans="1:7" x14ac:dyDescent="0.25">
      <c r="A57" t="s">
        <v>83</v>
      </c>
      <c r="B57">
        <v>1487</v>
      </c>
      <c r="C57">
        <v>624</v>
      </c>
      <c r="D57">
        <v>3</v>
      </c>
      <c r="E57" t="s">
        <v>23</v>
      </c>
      <c r="F57" t="s">
        <v>24</v>
      </c>
      <c r="G57" t="s">
        <v>19</v>
      </c>
    </row>
    <row r="58" spans="1:7" x14ac:dyDescent="0.25">
      <c r="A58" t="s">
        <v>84</v>
      </c>
      <c r="B58">
        <v>1118</v>
      </c>
      <c r="C58">
        <v>206</v>
      </c>
      <c r="D58">
        <v>2</v>
      </c>
      <c r="E58" t="s">
        <v>12</v>
      </c>
      <c r="F58" t="s">
        <v>45</v>
      </c>
      <c r="G58" t="s">
        <v>19</v>
      </c>
    </row>
    <row r="59" spans="1:7" x14ac:dyDescent="0.25">
      <c r="A59" t="s">
        <v>85</v>
      </c>
      <c r="B59">
        <v>11</v>
      </c>
      <c r="C59">
        <v>-5</v>
      </c>
      <c r="D59">
        <v>2</v>
      </c>
      <c r="E59" t="s">
        <v>23</v>
      </c>
      <c r="F59" t="s">
        <v>30</v>
      </c>
      <c r="G59" t="s">
        <v>10</v>
      </c>
    </row>
    <row r="60" spans="1:7" x14ac:dyDescent="0.25">
      <c r="A60" t="s">
        <v>86</v>
      </c>
      <c r="B60">
        <v>15</v>
      </c>
      <c r="C60">
        <v>4</v>
      </c>
      <c r="D60">
        <v>1</v>
      </c>
      <c r="E60" t="s">
        <v>23</v>
      </c>
      <c r="F60" t="s">
        <v>30</v>
      </c>
      <c r="G60" t="s">
        <v>82</v>
      </c>
    </row>
    <row r="61" spans="1:7" x14ac:dyDescent="0.25">
      <c r="A61" t="s">
        <v>87</v>
      </c>
      <c r="B61">
        <v>1364</v>
      </c>
      <c r="C61">
        <v>1864</v>
      </c>
      <c r="D61">
        <v>5</v>
      </c>
      <c r="E61" t="s">
        <v>12</v>
      </c>
      <c r="F61" t="s">
        <v>45</v>
      </c>
      <c r="G61" t="s">
        <v>19</v>
      </c>
    </row>
    <row r="62" spans="1:7" x14ac:dyDescent="0.25">
      <c r="A62" t="s">
        <v>88</v>
      </c>
      <c r="B62">
        <v>1337</v>
      </c>
      <c r="C62">
        <v>147</v>
      </c>
      <c r="D62">
        <v>7</v>
      </c>
      <c r="E62" t="s">
        <v>8</v>
      </c>
      <c r="F62" t="s">
        <v>18</v>
      </c>
      <c r="G62" t="s">
        <v>19</v>
      </c>
    </row>
    <row r="63" spans="1:7" x14ac:dyDescent="0.25">
      <c r="A63" t="s">
        <v>89</v>
      </c>
      <c r="B63">
        <v>15</v>
      </c>
      <c r="C63">
        <v>2</v>
      </c>
      <c r="D63">
        <v>1</v>
      </c>
      <c r="E63" t="s">
        <v>23</v>
      </c>
      <c r="F63" t="s">
        <v>63</v>
      </c>
      <c r="G63" t="s">
        <v>82</v>
      </c>
    </row>
    <row r="64" spans="1:7" x14ac:dyDescent="0.25">
      <c r="A64" t="s">
        <v>90</v>
      </c>
      <c r="B64">
        <v>322</v>
      </c>
      <c r="C64">
        <v>-193</v>
      </c>
      <c r="D64">
        <v>5</v>
      </c>
      <c r="E64" t="s">
        <v>8</v>
      </c>
      <c r="F64" t="s">
        <v>18</v>
      </c>
      <c r="G64" t="s">
        <v>28</v>
      </c>
    </row>
    <row r="65" spans="1:7" x14ac:dyDescent="0.25">
      <c r="A65" t="s">
        <v>91</v>
      </c>
      <c r="B65">
        <v>1316</v>
      </c>
      <c r="C65">
        <v>527</v>
      </c>
      <c r="D65">
        <v>7</v>
      </c>
      <c r="E65" t="s">
        <v>8</v>
      </c>
      <c r="F65" t="s">
        <v>9</v>
      </c>
      <c r="G65" t="s">
        <v>19</v>
      </c>
    </row>
    <row r="66" spans="1:7" x14ac:dyDescent="0.25">
      <c r="A66" t="s">
        <v>92</v>
      </c>
      <c r="B66">
        <v>1314</v>
      </c>
      <c r="C66">
        <v>342</v>
      </c>
      <c r="D66">
        <v>3</v>
      </c>
      <c r="E66" t="s">
        <v>12</v>
      </c>
      <c r="F66" t="s">
        <v>16</v>
      </c>
      <c r="G66" t="s">
        <v>19</v>
      </c>
    </row>
    <row r="67" spans="1:7" x14ac:dyDescent="0.25">
      <c r="A67" t="s">
        <v>93</v>
      </c>
      <c r="B67">
        <v>17</v>
      </c>
      <c r="C67">
        <v>7</v>
      </c>
      <c r="D67">
        <v>3</v>
      </c>
      <c r="E67" t="s">
        <v>23</v>
      </c>
      <c r="F67" t="s">
        <v>30</v>
      </c>
      <c r="G67" t="s">
        <v>82</v>
      </c>
    </row>
    <row r="68" spans="1:7" x14ac:dyDescent="0.25">
      <c r="A68" t="s">
        <v>94</v>
      </c>
      <c r="B68">
        <v>17</v>
      </c>
      <c r="C68">
        <v>2</v>
      </c>
      <c r="D68">
        <v>2</v>
      </c>
      <c r="E68" t="s">
        <v>23</v>
      </c>
      <c r="F68" t="s">
        <v>43</v>
      </c>
      <c r="G68" t="s">
        <v>82</v>
      </c>
    </row>
    <row r="69" spans="1:7" x14ac:dyDescent="0.25">
      <c r="A69" t="s">
        <v>95</v>
      </c>
      <c r="B69">
        <v>17</v>
      </c>
      <c r="C69">
        <v>-12</v>
      </c>
      <c r="D69">
        <v>5</v>
      </c>
      <c r="E69" t="s">
        <v>23</v>
      </c>
      <c r="F69" t="s">
        <v>43</v>
      </c>
      <c r="G69" t="s">
        <v>82</v>
      </c>
    </row>
    <row r="70" spans="1:7" x14ac:dyDescent="0.25">
      <c r="A70" t="s">
        <v>96</v>
      </c>
      <c r="B70">
        <v>1308</v>
      </c>
      <c r="C70">
        <v>536</v>
      </c>
      <c r="D70">
        <v>3</v>
      </c>
      <c r="E70" t="s">
        <v>12</v>
      </c>
      <c r="F70" t="s">
        <v>16</v>
      </c>
      <c r="G70" t="s">
        <v>19</v>
      </c>
    </row>
    <row r="71" spans="1:7" x14ac:dyDescent="0.25">
      <c r="A71" t="s">
        <v>97</v>
      </c>
      <c r="B71">
        <v>1076</v>
      </c>
      <c r="C71">
        <v>-38</v>
      </c>
      <c r="D71">
        <v>4</v>
      </c>
      <c r="E71" t="s">
        <v>8</v>
      </c>
      <c r="F71" t="s">
        <v>18</v>
      </c>
      <c r="G71" t="s">
        <v>19</v>
      </c>
    </row>
    <row r="72" spans="1:7" x14ac:dyDescent="0.25">
      <c r="A72" t="s">
        <v>98</v>
      </c>
      <c r="B72">
        <v>1301</v>
      </c>
      <c r="C72">
        <v>573</v>
      </c>
      <c r="D72">
        <v>5</v>
      </c>
      <c r="E72" t="s">
        <v>8</v>
      </c>
      <c r="F72" t="s">
        <v>73</v>
      </c>
      <c r="G72" t="s">
        <v>19</v>
      </c>
    </row>
    <row r="73" spans="1:7" x14ac:dyDescent="0.25">
      <c r="A73" t="s">
        <v>99</v>
      </c>
      <c r="B73">
        <v>1300</v>
      </c>
      <c r="C73">
        <v>-16</v>
      </c>
      <c r="D73">
        <v>8</v>
      </c>
      <c r="E73" t="s">
        <v>8</v>
      </c>
      <c r="F73" t="s">
        <v>18</v>
      </c>
      <c r="G73" t="s">
        <v>19</v>
      </c>
    </row>
    <row r="74" spans="1:7" x14ac:dyDescent="0.25">
      <c r="A74" t="s">
        <v>100</v>
      </c>
      <c r="B74">
        <v>11</v>
      </c>
      <c r="C74">
        <v>-2</v>
      </c>
      <c r="D74">
        <v>4</v>
      </c>
      <c r="E74" t="s">
        <v>23</v>
      </c>
      <c r="F74" t="s">
        <v>30</v>
      </c>
      <c r="G74" t="s">
        <v>10</v>
      </c>
    </row>
    <row r="75" spans="1:7" x14ac:dyDescent="0.25">
      <c r="A75" t="s">
        <v>101</v>
      </c>
      <c r="B75">
        <v>1298</v>
      </c>
      <c r="C75">
        <v>65</v>
      </c>
      <c r="D75">
        <v>9</v>
      </c>
      <c r="E75" t="s">
        <v>8</v>
      </c>
      <c r="F75" t="s">
        <v>18</v>
      </c>
      <c r="G75" t="s">
        <v>14</v>
      </c>
    </row>
    <row r="76" spans="1:7" x14ac:dyDescent="0.25">
      <c r="A76" t="s">
        <v>102</v>
      </c>
      <c r="B76">
        <v>304</v>
      </c>
      <c r="C76">
        <v>97</v>
      </c>
      <c r="D76">
        <v>6</v>
      </c>
      <c r="E76" t="s">
        <v>23</v>
      </c>
      <c r="F76" t="s">
        <v>57</v>
      </c>
      <c r="G76" t="s">
        <v>28</v>
      </c>
    </row>
    <row r="77" spans="1:7" x14ac:dyDescent="0.25">
      <c r="A77" t="s">
        <v>103</v>
      </c>
      <c r="B77">
        <v>1055</v>
      </c>
      <c r="C77">
        <v>264</v>
      </c>
      <c r="D77">
        <v>4</v>
      </c>
      <c r="E77" t="s">
        <v>8</v>
      </c>
      <c r="F77" t="s">
        <v>18</v>
      </c>
      <c r="G77" t="s">
        <v>14</v>
      </c>
    </row>
    <row r="78" spans="1:7" x14ac:dyDescent="0.25">
      <c r="A78" t="s">
        <v>104</v>
      </c>
      <c r="B78">
        <v>17</v>
      </c>
      <c r="C78">
        <v>-13</v>
      </c>
      <c r="D78">
        <v>4</v>
      </c>
      <c r="E78" t="s">
        <v>23</v>
      </c>
      <c r="F78" t="s">
        <v>43</v>
      </c>
      <c r="G78" t="s">
        <v>82</v>
      </c>
    </row>
    <row r="79" spans="1:7" x14ac:dyDescent="0.25">
      <c r="A79" t="s">
        <v>105</v>
      </c>
      <c r="B79">
        <v>147</v>
      </c>
      <c r="C79">
        <v>73</v>
      </c>
      <c r="D79">
        <v>3</v>
      </c>
      <c r="E79" t="s">
        <v>23</v>
      </c>
      <c r="F79" t="s">
        <v>57</v>
      </c>
      <c r="G79" t="s">
        <v>10</v>
      </c>
    </row>
    <row r="80" spans="1:7" x14ac:dyDescent="0.25">
      <c r="A80" t="s">
        <v>106</v>
      </c>
      <c r="B80">
        <v>965</v>
      </c>
      <c r="C80">
        <v>-68</v>
      </c>
      <c r="D80">
        <v>3</v>
      </c>
      <c r="E80" t="s">
        <v>8</v>
      </c>
      <c r="F80" t="s">
        <v>18</v>
      </c>
      <c r="G80" t="s">
        <v>10</v>
      </c>
    </row>
    <row r="81" spans="1:7" x14ac:dyDescent="0.25">
      <c r="A81" t="s">
        <v>42</v>
      </c>
      <c r="B81">
        <v>12</v>
      </c>
      <c r="C81">
        <v>-2</v>
      </c>
      <c r="D81">
        <v>3</v>
      </c>
      <c r="E81" t="s">
        <v>23</v>
      </c>
      <c r="F81" t="s">
        <v>30</v>
      </c>
      <c r="G81" t="s">
        <v>10</v>
      </c>
    </row>
    <row r="82" spans="1:7" x14ac:dyDescent="0.25">
      <c r="A82" t="s">
        <v>107</v>
      </c>
      <c r="B82">
        <v>14</v>
      </c>
      <c r="C82">
        <v>-2</v>
      </c>
      <c r="D82">
        <v>3</v>
      </c>
      <c r="E82" t="s">
        <v>23</v>
      </c>
      <c r="F82" t="s">
        <v>30</v>
      </c>
      <c r="G82" t="s">
        <v>28</v>
      </c>
    </row>
    <row r="83" spans="1:7" x14ac:dyDescent="0.25">
      <c r="A83" t="s">
        <v>108</v>
      </c>
      <c r="B83">
        <v>934</v>
      </c>
      <c r="C83">
        <v>-916</v>
      </c>
      <c r="D83">
        <v>7</v>
      </c>
      <c r="E83" t="s">
        <v>8</v>
      </c>
      <c r="F83" t="s">
        <v>9</v>
      </c>
      <c r="G83" t="s">
        <v>10</v>
      </c>
    </row>
    <row r="84" spans="1:7" x14ac:dyDescent="0.25">
      <c r="A84" t="s">
        <v>109</v>
      </c>
      <c r="B84">
        <v>929</v>
      </c>
      <c r="C84">
        <v>-93</v>
      </c>
      <c r="D84">
        <v>9</v>
      </c>
      <c r="E84" t="s">
        <v>23</v>
      </c>
      <c r="F84" t="s">
        <v>26</v>
      </c>
      <c r="G84" t="s">
        <v>10</v>
      </c>
    </row>
    <row r="85" spans="1:7" x14ac:dyDescent="0.25">
      <c r="A85" t="s">
        <v>110</v>
      </c>
      <c r="B85">
        <v>18</v>
      </c>
      <c r="C85">
        <v>3</v>
      </c>
      <c r="D85">
        <v>2</v>
      </c>
      <c r="E85" t="s">
        <v>23</v>
      </c>
      <c r="F85" t="s">
        <v>30</v>
      </c>
      <c r="G85" t="s">
        <v>82</v>
      </c>
    </row>
    <row r="86" spans="1:7" x14ac:dyDescent="0.25">
      <c r="A86" t="s">
        <v>111</v>
      </c>
      <c r="B86">
        <v>916</v>
      </c>
      <c r="C86">
        <v>192</v>
      </c>
      <c r="D86">
        <v>11</v>
      </c>
      <c r="E86" t="s">
        <v>8</v>
      </c>
      <c r="F86" t="s">
        <v>21</v>
      </c>
      <c r="G86" t="s">
        <v>10</v>
      </c>
    </row>
    <row r="87" spans="1:7" x14ac:dyDescent="0.25">
      <c r="A87" t="s">
        <v>112</v>
      </c>
      <c r="B87">
        <v>76</v>
      </c>
      <c r="C87">
        <v>-72</v>
      </c>
      <c r="D87">
        <v>9</v>
      </c>
      <c r="E87" t="s">
        <v>23</v>
      </c>
      <c r="F87" t="s">
        <v>30</v>
      </c>
      <c r="G87" t="s">
        <v>10</v>
      </c>
    </row>
    <row r="88" spans="1:7" x14ac:dyDescent="0.25">
      <c r="A88" t="s">
        <v>113</v>
      </c>
      <c r="B88">
        <v>869</v>
      </c>
      <c r="C88">
        <v>67</v>
      </c>
      <c r="D88">
        <v>4</v>
      </c>
      <c r="E88" t="s">
        <v>12</v>
      </c>
      <c r="F88" t="s">
        <v>45</v>
      </c>
      <c r="G88" t="s">
        <v>10</v>
      </c>
    </row>
    <row r="89" spans="1:7" x14ac:dyDescent="0.25">
      <c r="A89" t="s">
        <v>114</v>
      </c>
      <c r="B89">
        <v>112</v>
      </c>
      <c r="C89">
        <v>24</v>
      </c>
      <c r="D89">
        <v>3</v>
      </c>
      <c r="E89" t="s">
        <v>23</v>
      </c>
      <c r="F89" t="s">
        <v>32</v>
      </c>
      <c r="G89" t="s">
        <v>10</v>
      </c>
    </row>
    <row r="90" spans="1:7" x14ac:dyDescent="0.25">
      <c r="A90" t="s">
        <v>41</v>
      </c>
      <c r="B90">
        <v>39</v>
      </c>
      <c r="C90">
        <v>16</v>
      </c>
      <c r="D90">
        <v>6</v>
      </c>
      <c r="E90" t="s">
        <v>23</v>
      </c>
      <c r="F90" t="s">
        <v>43</v>
      </c>
      <c r="G90" t="s">
        <v>28</v>
      </c>
    </row>
    <row r="91" spans="1:7" x14ac:dyDescent="0.25">
      <c r="A91" t="s">
        <v>115</v>
      </c>
      <c r="B91">
        <v>857</v>
      </c>
      <c r="C91">
        <v>-274</v>
      </c>
      <c r="D91">
        <v>2</v>
      </c>
      <c r="E91" t="s">
        <v>12</v>
      </c>
      <c r="F91" t="s">
        <v>45</v>
      </c>
      <c r="G91" t="s">
        <v>10</v>
      </c>
    </row>
    <row r="92" spans="1:7" x14ac:dyDescent="0.25">
      <c r="A92" t="s">
        <v>116</v>
      </c>
      <c r="B92">
        <v>828</v>
      </c>
      <c r="C92">
        <v>230</v>
      </c>
      <c r="D92">
        <v>2</v>
      </c>
      <c r="E92" t="s">
        <v>12</v>
      </c>
      <c r="F92" t="s">
        <v>13</v>
      </c>
      <c r="G92" t="s">
        <v>10</v>
      </c>
    </row>
    <row r="93" spans="1:7" x14ac:dyDescent="0.25">
      <c r="A93" t="s">
        <v>117</v>
      </c>
      <c r="B93">
        <v>1279</v>
      </c>
      <c r="C93">
        <v>-640</v>
      </c>
      <c r="D93">
        <v>8</v>
      </c>
      <c r="E93" t="s">
        <v>8</v>
      </c>
      <c r="F93" t="s">
        <v>18</v>
      </c>
      <c r="G93" t="s">
        <v>14</v>
      </c>
    </row>
    <row r="94" spans="1:7" x14ac:dyDescent="0.25">
      <c r="A94" t="s">
        <v>118</v>
      </c>
      <c r="B94">
        <v>1250</v>
      </c>
      <c r="C94">
        <v>486</v>
      </c>
      <c r="D94">
        <v>7</v>
      </c>
      <c r="E94" t="s">
        <v>23</v>
      </c>
      <c r="F94" t="s">
        <v>26</v>
      </c>
      <c r="G94" t="s">
        <v>14</v>
      </c>
    </row>
    <row r="95" spans="1:7" x14ac:dyDescent="0.25">
      <c r="A95" t="s">
        <v>119</v>
      </c>
      <c r="B95">
        <v>823</v>
      </c>
      <c r="C95">
        <v>-18</v>
      </c>
      <c r="D95">
        <v>7</v>
      </c>
      <c r="E95" t="s">
        <v>12</v>
      </c>
      <c r="F95" t="s">
        <v>13</v>
      </c>
      <c r="G95" t="s">
        <v>10</v>
      </c>
    </row>
    <row r="96" spans="1:7" x14ac:dyDescent="0.25">
      <c r="A96" t="s">
        <v>105</v>
      </c>
      <c r="B96">
        <v>1157</v>
      </c>
      <c r="C96">
        <v>-13</v>
      </c>
      <c r="D96">
        <v>9</v>
      </c>
      <c r="E96" t="s">
        <v>12</v>
      </c>
      <c r="F96" t="s">
        <v>16</v>
      </c>
      <c r="G96" t="s">
        <v>19</v>
      </c>
    </row>
    <row r="97" spans="1:7" x14ac:dyDescent="0.25">
      <c r="A97" t="s">
        <v>120</v>
      </c>
      <c r="B97">
        <v>126</v>
      </c>
      <c r="C97">
        <v>-63</v>
      </c>
      <c r="D97">
        <v>3</v>
      </c>
      <c r="E97" t="s">
        <v>8</v>
      </c>
      <c r="F97" t="s">
        <v>73</v>
      </c>
      <c r="G97" t="s">
        <v>28</v>
      </c>
    </row>
    <row r="98" spans="1:7" x14ac:dyDescent="0.25">
      <c r="A98" t="s">
        <v>121</v>
      </c>
      <c r="B98">
        <v>1145</v>
      </c>
      <c r="C98">
        <v>-706</v>
      </c>
      <c r="D98">
        <v>3</v>
      </c>
      <c r="E98" t="s">
        <v>8</v>
      </c>
      <c r="F98" t="s">
        <v>21</v>
      </c>
      <c r="G98" t="s">
        <v>19</v>
      </c>
    </row>
    <row r="99" spans="1:7" x14ac:dyDescent="0.25">
      <c r="A99" t="s">
        <v>122</v>
      </c>
      <c r="B99">
        <v>774</v>
      </c>
      <c r="C99">
        <v>170</v>
      </c>
      <c r="D99">
        <v>3</v>
      </c>
      <c r="E99" t="s">
        <v>8</v>
      </c>
      <c r="F99" t="s">
        <v>73</v>
      </c>
      <c r="G99" t="s">
        <v>10</v>
      </c>
    </row>
    <row r="100" spans="1:7" x14ac:dyDescent="0.25">
      <c r="A100" t="s">
        <v>123</v>
      </c>
      <c r="B100">
        <v>24</v>
      </c>
      <c r="C100">
        <v>-1</v>
      </c>
      <c r="D100">
        <v>2</v>
      </c>
      <c r="E100" t="s">
        <v>23</v>
      </c>
      <c r="F100" t="s">
        <v>30</v>
      </c>
      <c r="G100" t="s">
        <v>10</v>
      </c>
    </row>
    <row r="101" spans="1:7" x14ac:dyDescent="0.25">
      <c r="A101" t="s">
        <v>124</v>
      </c>
      <c r="B101">
        <v>774</v>
      </c>
      <c r="C101">
        <v>170</v>
      </c>
      <c r="D101">
        <v>3</v>
      </c>
      <c r="E101" t="s">
        <v>8</v>
      </c>
      <c r="F101" t="s">
        <v>73</v>
      </c>
      <c r="G101" t="s">
        <v>10</v>
      </c>
    </row>
    <row r="102" spans="1:7" x14ac:dyDescent="0.25">
      <c r="A102" t="s">
        <v>111</v>
      </c>
      <c r="B102">
        <v>93</v>
      </c>
      <c r="C102">
        <v>-1</v>
      </c>
      <c r="D102">
        <v>2</v>
      </c>
      <c r="E102" t="s">
        <v>23</v>
      </c>
      <c r="F102" t="s">
        <v>30</v>
      </c>
      <c r="G102" t="s">
        <v>10</v>
      </c>
    </row>
    <row r="103" spans="1:7" x14ac:dyDescent="0.25">
      <c r="A103" t="s">
        <v>125</v>
      </c>
      <c r="B103">
        <v>765</v>
      </c>
      <c r="C103">
        <v>-36</v>
      </c>
      <c r="D103">
        <v>3</v>
      </c>
      <c r="E103" t="s">
        <v>8</v>
      </c>
      <c r="F103" t="s">
        <v>9</v>
      </c>
      <c r="G103" t="s">
        <v>10</v>
      </c>
    </row>
    <row r="104" spans="1:7" x14ac:dyDescent="0.25">
      <c r="A104" t="s">
        <v>126</v>
      </c>
      <c r="B104">
        <v>762</v>
      </c>
      <c r="C104">
        <v>101</v>
      </c>
      <c r="D104">
        <v>6</v>
      </c>
      <c r="E104" t="s">
        <v>8</v>
      </c>
      <c r="F104" t="s">
        <v>18</v>
      </c>
      <c r="G104" t="s">
        <v>10</v>
      </c>
    </row>
    <row r="105" spans="1:7" x14ac:dyDescent="0.25">
      <c r="A105" t="s">
        <v>127</v>
      </c>
      <c r="B105">
        <v>761</v>
      </c>
      <c r="C105">
        <v>266</v>
      </c>
      <c r="D105">
        <v>9</v>
      </c>
      <c r="E105" t="s">
        <v>8</v>
      </c>
      <c r="F105" t="s">
        <v>9</v>
      </c>
      <c r="G105" t="s">
        <v>10</v>
      </c>
    </row>
    <row r="106" spans="1:7" x14ac:dyDescent="0.25">
      <c r="A106" t="s">
        <v>128</v>
      </c>
      <c r="B106">
        <v>96</v>
      </c>
      <c r="C106">
        <v>-48</v>
      </c>
      <c r="D106">
        <v>5</v>
      </c>
      <c r="E106" t="s">
        <v>23</v>
      </c>
      <c r="F106" t="s">
        <v>63</v>
      </c>
      <c r="G106" t="s">
        <v>28</v>
      </c>
    </row>
    <row r="107" spans="1:7" x14ac:dyDescent="0.25">
      <c r="A107" t="s">
        <v>129</v>
      </c>
      <c r="B107">
        <v>1137</v>
      </c>
      <c r="C107">
        <v>-14</v>
      </c>
      <c r="D107">
        <v>7</v>
      </c>
      <c r="E107" t="s">
        <v>8</v>
      </c>
      <c r="F107" t="s">
        <v>18</v>
      </c>
      <c r="G107" t="s">
        <v>14</v>
      </c>
    </row>
    <row r="108" spans="1:7" x14ac:dyDescent="0.25">
      <c r="A108" t="s">
        <v>121</v>
      </c>
      <c r="B108">
        <v>18</v>
      </c>
      <c r="C108">
        <v>8</v>
      </c>
      <c r="D108">
        <v>2</v>
      </c>
      <c r="E108" t="s">
        <v>23</v>
      </c>
      <c r="F108" t="s">
        <v>30</v>
      </c>
      <c r="G108" t="s">
        <v>82</v>
      </c>
    </row>
    <row r="109" spans="1:7" x14ac:dyDescent="0.25">
      <c r="A109" t="s">
        <v>130</v>
      </c>
      <c r="B109">
        <v>749</v>
      </c>
      <c r="C109">
        <v>-307</v>
      </c>
      <c r="D109">
        <v>7</v>
      </c>
      <c r="E109" t="s">
        <v>12</v>
      </c>
      <c r="F109" t="s">
        <v>131</v>
      </c>
      <c r="G109" t="s">
        <v>10</v>
      </c>
    </row>
    <row r="110" spans="1:7" x14ac:dyDescent="0.25">
      <c r="A110" t="s">
        <v>129</v>
      </c>
      <c r="B110">
        <v>1120</v>
      </c>
      <c r="C110">
        <v>199</v>
      </c>
      <c r="D110">
        <v>6</v>
      </c>
      <c r="E110" t="s">
        <v>23</v>
      </c>
      <c r="F110" t="s">
        <v>26</v>
      </c>
      <c r="G110" t="s">
        <v>14</v>
      </c>
    </row>
    <row r="111" spans="1:7" x14ac:dyDescent="0.25">
      <c r="A111" t="s">
        <v>132</v>
      </c>
      <c r="B111">
        <v>744</v>
      </c>
      <c r="C111">
        <v>119</v>
      </c>
      <c r="D111">
        <v>6</v>
      </c>
      <c r="E111" t="s">
        <v>8</v>
      </c>
      <c r="F111" t="s">
        <v>18</v>
      </c>
      <c r="G111" t="s">
        <v>10</v>
      </c>
    </row>
    <row r="112" spans="1:7" x14ac:dyDescent="0.25">
      <c r="A112" t="s">
        <v>133</v>
      </c>
      <c r="B112">
        <v>14</v>
      </c>
      <c r="C112">
        <v>0</v>
      </c>
      <c r="D112">
        <v>4</v>
      </c>
      <c r="E112" t="s">
        <v>23</v>
      </c>
      <c r="F112" t="s">
        <v>30</v>
      </c>
      <c r="G112" t="s">
        <v>28</v>
      </c>
    </row>
    <row r="113" spans="1:7" x14ac:dyDescent="0.25">
      <c r="A113" t="s">
        <v>134</v>
      </c>
      <c r="B113">
        <v>19</v>
      </c>
      <c r="C113">
        <v>8</v>
      </c>
      <c r="D113">
        <v>2</v>
      </c>
      <c r="E113" t="s">
        <v>23</v>
      </c>
      <c r="F113" t="s">
        <v>30</v>
      </c>
      <c r="G113" t="s">
        <v>82</v>
      </c>
    </row>
    <row r="114" spans="1:7" x14ac:dyDescent="0.25">
      <c r="A114" t="s">
        <v>135</v>
      </c>
      <c r="B114">
        <v>512</v>
      </c>
      <c r="C114">
        <v>-225</v>
      </c>
      <c r="D114">
        <v>5</v>
      </c>
      <c r="E114" t="s">
        <v>23</v>
      </c>
      <c r="F114" t="s">
        <v>26</v>
      </c>
      <c r="G114" t="s">
        <v>10</v>
      </c>
    </row>
    <row r="115" spans="1:7" x14ac:dyDescent="0.25">
      <c r="A115" t="s">
        <v>136</v>
      </c>
      <c r="B115">
        <v>742</v>
      </c>
      <c r="C115">
        <v>198</v>
      </c>
      <c r="D115">
        <v>2</v>
      </c>
      <c r="E115" t="s">
        <v>12</v>
      </c>
      <c r="F115" t="s">
        <v>16</v>
      </c>
      <c r="G115" t="s">
        <v>10</v>
      </c>
    </row>
    <row r="116" spans="1:7" x14ac:dyDescent="0.25">
      <c r="A116" t="s">
        <v>137</v>
      </c>
      <c r="B116">
        <v>44</v>
      </c>
      <c r="C116">
        <v>-40</v>
      </c>
      <c r="D116">
        <v>3</v>
      </c>
      <c r="E116" t="s">
        <v>23</v>
      </c>
      <c r="F116" t="s">
        <v>57</v>
      </c>
      <c r="G116" t="s">
        <v>10</v>
      </c>
    </row>
    <row r="117" spans="1:7" x14ac:dyDescent="0.25">
      <c r="A117" t="s">
        <v>29</v>
      </c>
      <c r="B117">
        <v>1061</v>
      </c>
      <c r="C117">
        <v>-36</v>
      </c>
      <c r="D117">
        <v>8</v>
      </c>
      <c r="E117" t="s">
        <v>12</v>
      </c>
      <c r="F117" t="s">
        <v>16</v>
      </c>
      <c r="G117" t="s">
        <v>14</v>
      </c>
    </row>
    <row r="118" spans="1:7" x14ac:dyDescent="0.25">
      <c r="A118" t="s">
        <v>138</v>
      </c>
      <c r="B118">
        <v>19</v>
      </c>
      <c r="C118">
        <v>-2</v>
      </c>
      <c r="D118">
        <v>2</v>
      </c>
      <c r="E118" t="s">
        <v>23</v>
      </c>
      <c r="F118" t="s">
        <v>63</v>
      </c>
      <c r="G118" t="s">
        <v>82</v>
      </c>
    </row>
    <row r="119" spans="1:7" x14ac:dyDescent="0.25">
      <c r="A119" t="s">
        <v>139</v>
      </c>
      <c r="B119">
        <v>17</v>
      </c>
      <c r="C119">
        <v>0</v>
      </c>
      <c r="D119">
        <v>1</v>
      </c>
      <c r="E119" t="s">
        <v>23</v>
      </c>
      <c r="F119" t="s">
        <v>30</v>
      </c>
      <c r="G119" t="s">
        <v>10</v>
      </c>
    </row>
    <row r="120" spans="1:7" x14ac:dyDescent="0.25">
      <c r="A120" t="s">
        <v>140</v>
      </c>
      <c r="B120">
        <v>741</v>
      </c>
      <c r="C120">
        <v>267</v>
      </c>
      <c r="D120">
        <v>5</v>
      </c>
      <c r="E120" t="s">
        <v>12</v>
      </c>
      <c r="F120" t="s">
        <v>16</v>
      </c>
      <c r="G120" t="s">
        <v>10</v>
      </c>
    </row>
    <row r="121" spans="1:7" x14ac:dyDescent="0.25">
      <c r="A121" t="s">
        <v>127</v>
      </c>
      <c r="B121">
        <v>735</v>
      </c>
      <c r="C121">
        <v>-235</v>
      </c>
      <c r="D121">
        <v>6</v>
      </c>
      <c r="E121" t="s">
        <v>8</v>
      </c>
      <c r="F121" t="s">
        <v>18</v>
      </c>
      <c r="G121" t="s">
        <v>10</v>
      </c>
    </row>
    <row r="122" spans="1:7" x14ac:dyDescent="0.25">
      <c r="A122" t="s">
        <v>141</v>
      </c>
      <c r="B122">
        <v>19</v>
      </c>
      <c r="C122">
        <v>-1</v>
      </c>
      <c r="D122">
        <v>1</v>
      </c>
      <c r="E122" t="s">
        <v>23</v>
      </c>
      <c r="F122" t="s">
        <v>142</v>
      </c>
      <c r="G122" t="s">
        <v>82</v>
      </c>
    </row>
    <row r="123" spans="1:7" x14ac:dyDescent="0.25">
      <c r="A123" t="s">
        <v>143</v>
      </c>
      <c r="B123">
        <v>1021</v>
      </c>
      <c r="C123">
        <v>-48</v>
      </c>
      <c r="D123">
        <v>4</v>
      </c>
      <c r="E123" t="s">
        <v>8</v>
      </c>
      <c r="F123" t="s">
        <v>9</v>
      </c>
      <c r="G123" t="s">
        <v>14</v>
      </c>
    </row>
    <row r="124" spans="1:7" x14ac:dyDescent="0.25">
      <c r="A124" t="s">
        <v>144</v>
      </c>
      <c r="B124">
        <v>556</v>
      </c>
      <c r="C124">
        <v>-209</v>
      </c>
      <c r="D124">
        <v>7</v>
      </c>
      <c r="E124" t="s">
        <v>23</v>
      </c>
      <c r="F124" t="s">
        <v>26</v>
      </c>
      <c r="G124" t="s">
        <v>10</v>
      </c>
    </row>
    <row r="125" spans="1:7" x14ac:dyDescent="0.25">
      <c r="A125" t="s">
        <v>145</v>
      </c>
      <c r="B125">
        <v>63</v>
      </c>
      <c r="C125">
        <v>-17</v>
      </c>
      <c r="D125">
        <v>6</v>
      </c>
      <c r="E125" t="s">
        <v>23</v>
      </c>
      <c r="F125" t="s">
        <v>63</v>
      </c>
      <c r="G125" t="s">
        <v>10</v>
      </c>
    </row>
    <row r="126" spans="1:7" x14ac:dyDescent="0.25">
      <c r="A126" t="s">
        <v>146</v>
      </c>
      <c r="B126">
        <v>734</v>
      </c>
      <c r="C126">
        <v>248</v>
      </c>
      <c r="D126">
        <v>2</v>
      </c>
      <c r="E126" t="s">
        <v>12</v>
      </c>
      <c r="F126" t="s">
        <v>13</v>
      </c>
      <c r="G126" t="s">
        <v>10</v>
      </c>
    </row>
    <row r="127" spans="1:7" x14ac:dyDescent="0.25">
      <c r="A127" t="s">
        <v>52</v>
      </c>
      <c r="B127">
        <v>933</v>
      </c>
      <c r="C127">
        <v>166</v>
      </c>
      <c r="D127">
        <v>5</v>
      </c>
      <c r="E127" t="s">
        <v>23</v>
      </c>
      <c r="F127" t="s">
        <v>26</v>
      </c>
      <c r="G127" t="s">
        <v>19</v>
      </c>
    </row>
    <row r="128" spans="1:7" x14ac:dyDescent="0.25">
      <c r="A128" t="s">
        <v>147</v>
      </c>
      <c r="B128">
        <v>20</v>
      </c>
      <c r="C128">
        <v>-9</v>
      </c>
      <c r="D128">
        <v>6</v>
      </c>
      <c r="E128" t="s">
        <v>23</v>
      </c>
      <c r="F128" t="s">
        <v>30</v>
      </c>
      <c r="G128" t="s">
        <v>82</v>
      </c>
    </row>
    <row r="129" spans="1:7" x14ac:dyDescent="0.25">
      <c r="A129" t="s">
        <v>148</v>
      </c>
      <c r="B129">
        <v>877</v>
      </c>
      <c r="C129">
        <v>395</v>
      </c>
      <c r="D129">
        <v>2</v>
      </c>
      <c r="E129" t="s">
        <v>12</v>
      </c>
      <c r="F129" t="s">
        <v>16</v>
      </c>
      <c r="G129" t="s">
        <v>19</v>
      </c>
    </row>
    <row r="130" spans="1:7" x14ac:dyDescent="0.25">
      <c r="A130" t="s">
        <v>140</v>
      </c>
      <c r="B130">
        <v>719</v>
      </c>
      <c r="C130">
        <v>303</v>
      </c>
      <c r="D130">
        <v>6</v>
      </c>
      <c r="E130" t="s">
        <v>12</v>
      </c>
      <c r="F130" t="s">
        <v>13</v>
      </c>
      <c r="G130" t="s">
        <v>10</v>
      </c>
    </row>
    <row r="131" spans="1:7" x14ac:dyDescent="0.25">
      <c r="A131" t="s">
        <v>149</v>
      </c>
      <c r="B131">
        <v>12</v>
      </c>
      <c r="C131">
        <v>1</v>
      </c>
      <c r="D131">
        <v>2</v>
      </c>
      <c r="E131" t="s">
        <v>23</v>
      </c>
      <c r="F131" t="s">
        <v>30</v>
      </c>
      <c r="G131" t="s">
        <v>10</v>
      </c>
    </row>
    <row r="132" spans="1:7" x14ac:dyDescent="0.25">
      <c r="A132" t="s">
        <v>150</v>
      </c>
      <c r="B132">
        <v>714</v>
      </c>
      <c r="C132">
        <v>56</v>
      </c>
      <c r="D132">
        <v>4</v>
      </c>
      <c r="E132" t="s">
        <v>23</v>
      </c>
      <c r="F132" t="s">
        <v>26</v>
      </c>
      <c r="G132" t="s">
        <v>10</v>
      </c>
    </row>
    <row r="133" spans="1:7" x14ac:dyDescent="0.25">
      <c r="A133" t="s">
        <v>151</v>
      </c>
      <c r="B133">
        <v>50</v>
      </c>
      <c r="C133">
        <v>-15</v>
      </c>
      <c r="D133">
        <v>4</v>
      </c>
      <c r="E133" t="s">
        <v>23</v>
      </c>
      <c r="F133" t="s">
        <v>63</v>
      </c>
      <c r="G133" t="s">
        <v>10</v>
      </c>
    </row>
    <row r="134" spans="1:7" x14ac:dyDescent="0.25">
      <c r="A134" t="s">
        <v>152</v>
      </c>
      <c r="B134">
        <v>709</v>
      </c>
      <c r="C134">
        <v>-100</v>
      </c>
      <c r="D134">
        <v>5</v>
      </c>
      <c r="E134" t="s">
        <v>8</v>
      </c>
      <c r="F134" t="s">
        <v>21</v>
      </c>
      <c r="G134" t="s">
        <v>10</v>
      </c>
    </row>
    <row r="135" spans="1:7" x14ac:dyDescent="0.25">
      <c r="A135" t="s">
        <v>153</v>
      </c>
      <c r="B135">
        <v>21</v>
      </c>
      <c r="C135">
        <v>-12</v>
      </c>
      <c r="D135">
        <v>3</v>
      </c>
      <c r="E135" t="s">
        <v>23</v>
      </c>
      <c r="F135" t="s">
        <v>30</v>
      </c>
      <c r="G135" t="s">
        <v>82</v>
      </c>
    </row>
    <row r="136" spans="1:7" x14ac:dyDescent="0.25">
      <c r="A136" t="s">
        <v>154</v>
      </c>
      <c r="B136">
        <v>693</v>
      </c>
      <c r="C136">
        <v>254</v>
      </c>
      <c r="D136">
        <v>6</v>
      </c>
      <c r="E136" t="s">
        <v>23</v>
      </c>
      <c r="F136" t="s">
        <v>26</v>
      </c>
      <c r="G136" t="s">
        <v>10</v>
      </c>
    </row>
    <row r="137" spans="1:7" x14ac:dyDescent="0.25">
      <c r="A137" t="s">
        <v>111</v>
      </c>
      <c r="B137">
        <v>24</v>
      </c>
      <c r="C137">
        <v>1</v>
      </c>
      <c r="D137">
        <v>4</v>
      </c>
      <c r="E137" t="s">
        <v>23</v>
      </c>
      <c r="F137" t="s">
        <v>30</v>
      </c>
      <c r="G137" t="s">
        <v>10</v>
      </c>
    </row>
    <row r="138" spans="1:7" x14ac:dyDescent="0.25">
      <c r="A138" t="s">
        <v>155</v>
      </c>
      <c r="B138">
        <v>24</v>
      </c>
      <c r="C138">
        <v>1</v>
      </c>
      <c r="D138">
        <v>2</v>
      </c>
      <c r="E138" t="s">
        <v>23</v>
      </c>
      <c r="F138" t="s">
        <v>30</v>
      </c>
      <c r="G138" t="s">
        <v>28</v>
      </c>
    </row>
    <row r="139" spans="1:7" x14ac:dyDescent="0.25">
      <c r="A139" t="s">
        <v>113</v>
      </c>
      <c r="B139">
        <v>24</v>
      </c>
      <c r="C139">
        <v>1</v>
      </c>
      <c r="D139">
        <v>2</v>
      </c>
      <c r="E139" t="s">
        <v>23</v>
      </c>
      <c r="F139" t="s">
        <v>30</v>
      </c>
      <c r="G139" t="s">
        <v>10</v>
      </c>
    </row>
    <row r="140" spans="1:7" x14ac:dyDescent="0.25">
      <c r="A140" t="s">
        <v>156</v>
      </c>
      <c r="B140">
        <v>21</v>
      </c>
      <c r="C140">
        <v>10</v>
      </c>
      <c r="D140">
        <v>1</v>
      </c>
      <c r="E140" t="s">
        <v>23</v>
      </c>
      <c r="F140" t="s">
        <v>81</v>
      </c>
      <c r="G140" t="s">
        <v>82</v>
      </c>
    </row>
    <row r="141" spans="1:7" x14ac:dyDescent="0.25">
      <c r="A141" t="s">
        <v>157</v>
      </c>
      <c r="B141">
        <v>681</v>
      </c>
      <c r="C141">
        <v>259</v>
      </c>
      <c r="D141">
        <v>4</v>
      </c>
      <c r="E141" t="s">
        <v>12</v>
      </c>
      <c r="F141" t="s">
        <v>13</v>
      </c>
      <c r="G141" t="s">
        <v>10</v>
      </c>
    </row>
    <row r="142" spans="1:7" x14ac:dyDescent="0.25">
      <c r="A142" t="s">
        <v>158</v>
      </c>
      <c r="B142">
        <v>674</v>
      </c>
      <c r="C142">
        <v>-187</v>
      </c>
      <c r="D142">
        <v>2</v>
      </c>
      <c r="E142" t="s">
        <v>12</v>
      </c>
      <c r="F142" t="s">
        <v>45</v>
      </c>
      <c r="G142" t="s">
        <v>10</v>
      </c>
    </row>
    <row r="143" spans="1:7" x14ac:dyDescent="0.25">
      <c r="A143" t="s">
        <v>61</v>
      </c>
      <c r="B143">
        <v>671</v>
      </c>
      <c r="C143">
        <v>-309</v>
      </c>
      <c r="D143">
        <v>5</v>
      </c>
      <c r="E143" t="s">
        <v>8</v>
      </c>
      <c r="F143" t="s">
        <v>9</v>
      </c>
      <c r="G143" t="s">
        <v>10</v>
      </c>
    </row>
    <row r="144" spans="1:7" x14ac:dyDescent="0.25">
      <c r="A144" t="s">
        <v>159</v>
      </c>
      <c r="B144">
        <v>646</v>
      </c>
      <c r="C144">
        <v>-213</v>
      </c>
      <c r="D144">
        <v>3</v>
      </c>
      <c r="E144" t="s">
        <v>8</v>
      </c>
      <c r="F144" t="s">
        <v>9</v>
      </c>
      <c r="G144" t="s">
        <v>10</v>
      </c>
    </row>
    <row r="145" spans="1:7" x14ac:dyDescent="0.25">
      <c r="A145" t="s">
        <v>160</v>
      </c>
      <c r="B145">
        <v>40</v>
      </c>
      <c r="C145">
        <v>15</v>
      </c>
      <c r="D145">
        <v>1</v>
      </c>
      <c r="E145" t="s">
        <v>23</v>
      </c>
      <c r="F145" t="s">
        <v>32</v>
      </c>
      <c r="G145" t="s">
        <v>10</v>
      </c>
    </row>
    <row r="146" spans="1:7" x14ac:dyDescent="0.25">
      <c r="A146" t="s">
        <v>161</v>
      </c>
      <c r="B146">
        <v>24</v>
      </c>
      <c r="C146">
        <v>-2</v>
      </c>
      <c r="D146">
        <v>2</v>
      </c>
      <c r="E146" t="s">
        <v>23</v>
      </c>
      <c r="F146" t="s">
        <v>81</v>
      </c>
      <c r="G146" t="s">
        <v>10</v>
      </c>
    </row>
    <row r="147" spans="1:7" x14ac:dyDescent="0.25">
      <c r="A147" t="s">
        <v>46</v>
      </c>
      <c r="B147">
        <v>644</v>
      </c>
      <c r="C147">
        <v>167</v>
      </c>
      <c r="D147">
        <v>2</v>
      </c>
      <c r="E147" t="s">
        <v>8</v>
      </c>
      <c r="F147" t="s">
        <v>18</v>
      </c>
      <c r="G147" t="s">
        <v>10</v>
      </c>
    </row>
    <row r="148" spans="1:7" x14ac:dyDescent="0.25">
      <c r="A148" t="s">
        <v>162</v>
      </c>
      <c r="B148">
        <v>643</v>
      </c>
      <c r="C148">
        <v>225</v>
      </c>
      <c r="D148">
        <v>2</v>
      </c>
      <c r="E148" t="s">
        <v>8</v>
      </c>
      <c r="F148" t="s">
        <v>18</v>
      </c>
      <c r="G148" t="s">
        <v>10</v>
      </c>
    </row>
    <row r="149" spans="1:7" x14ac:dyDescent="0.25">
      <c r="A149" t="s">
        <v>163</v>
      </c>
      <c r="B149">
        <v>632</v>
      </c>
      <c r="C149">
        <v>-316</v>
      </c>
      <c r="D149">
        <v>6</v>
      </c>
      <c r="E149" t="s">
        <v>23</v>
      </c>
      <c r="F149" t="s">
        <v>26</v>
      </c>
      <c r="G149" t="s">
        <v>10</v>
      </c>
    </row>
    <row r="150" spans="1:7" x14ac:dyDescent="0.25">
      <c r="A150" t="s">
        <v>112</v>
      </c>
      <c r="B150">
        <v>632</v>
      </c>
      <c r="C150">
        <v>316</v>
      </c>
      <c r="D150">
        <v>6</v>
      </c>
      <c r="E150" t="s">
        <v>23</v>
      </c>
      <c r="F150" t="s">
        <v>26</v>
      </c>
      <c r="G150" t="s">
        <v>10</v>
      </c>
    </row>
    <row r="151" spans="1:7" x14ac:dyDescent="0.25">
      <c r="A151" t="s">
        <v>164</v>
      </c>
      <c r="B151">
        <v>610</v>
      </c>
      <c r="C151">
        <v>208</v>
      </c>
      <c r="D151">
        <v>3</v>
      </c>
      <c r="E151" t="s">
        <v>8</v>
      </c>
      <c r="F151" t="s">
        <v>18</v>
      </c>
      <c r="G151" t="s">
        <v>10</v>
      </c>
    </row>
    <row r="152" spans="1:7" x14ac:dyDescent="0.25">
      <c r="A152" t="s">
        <v>122</v>
      </c>
      <c r="B152">
        <v>78</v>
      </c>
      <c r="C152">
        <v>-28</v>
      </c>
      <c r="D152">
        <v>6</v>
      </c>
      <c r="E152" t="s">
        <v>23</v>
      </c>
      <c r="F152" t="s">
        <v>32</v>
      </c>
      <c r="G152" t="s">
        <v>28</v>
      </c>
    </row>
    <row r="153" spans="1:7" x14ac:dyDescent="0.25">
      <c r="A153" t="s">
        <v>165</v>
      </c>
      <c r="B153">
        <v>595</v>
      </c>
      <c r="C153">
        <v>119</v>
      </c>
      <c r="D153">
        <v>4</v>
      </c>
      <c r="E153" t="s">
        <v>12</v>
      </c>
      <c r="F153" t="s">
        <v>16</v>
      </c>
      <c r="G153" t="s">
        <v>10</v>
      </c>
    </row>
    <row r="154" spans="1:7" x14ac:dyDescent="0.25">
      <c r="A154" t="s">
        <v>166</v>
      </c>
      <c r="B154">
        <v>595</v>
      </c>
      <c r="C154">
        <v>292</v>
      </c>
      <c r="D154">
        <v>3</v>
      </c>
      <c r="E154" t="s">
        <v>23</v>
      </c>
      <c r="F154" t="s">
        <v>26</v>
      </c>
      <c r="G154" t="s">
        <v>10</v>
      </c>
    </row>
    <row r="155" spans="1:7" x14ac:dyDescent="0.25">
      <c r="A155" t="s">
        <v>17</v>
      </c>
      <c r="B155">
        <v>852</v>
      </c>
      <c r="C155">
        <v>51</v>
      </c>
      <c r="D155">
        <v>5</v>
      </c>
      <c r="E155" t="s">
        <v>12</v>
      </c>
      <c r="F155" t="s">
        <v>16</v>
      </c>
      <c r="G155" t="s">
        <v>19</v>
      </c>
    </row>
    <row r="156" spans="1:7" x14ac:dyDescent="0.25">
      <c r="A156" t="s">
        <v>167</v>
      </c>
      <c r="B156">
        <v>594</v>
      </c>
      <c r="C156">
        <v>89</v>
      </c>
      <c r="D156">
        <v>3</v>
      </c>
      <c r="E156" t="s">
        <v>12</v>
      </c>
      <c r="F156" t="s">
        <v>16</v>
      </c>
      <c r="G156" t="s">
        <v>10</v>
      </c>
    </row>
    <row r="157" spans="1:7" x14ac:dyDescent="0.25">
      <c r="A157" t="s">
        <v>168</v>
      </c>
      <c r="B157">
        <v>585</v>
      </c>
      <c r="C157">
        <v>175</v>
      </c>
      <c r="D157">
        <v>13</v>
      </c>
      <c r="E157" t="s">
        <v>23</v>
      </c>
      <c r="F157" t="s">
        <v>81</v>
      </c>
      <c r="G157" t="s">
        <v>10</v>
      </c>
    </row>
    <row r="158" spans="1:7" x14ac:dyDescent="0.25">
      <c r="A158" t="s">
        <v>169</v>
      </c>
      <c r="B158">
        <v>582</v>
      </c>
      <c r="C158">
        <v>262</v>
      </c>
      <c r="D158">
        <v>5</v>
      </c>
      <c r="E158" t="s">
        <v>12</v>
      </c>
      <c r="F158" t="s">
        <v>131</v>
      </c>
      <c r="G158" t="s">
        <v>10</v>
      </c>
    </row>
    <row r="159" spans="1:7" x14ac:dyDescent="0.25">
      <c r="A159" t="s">
        <v>170</v>
      </c>
      <c r="B159">
        <v>845</v>
      </c>
      <c r="C159">
        <v>84</v>
      </c>
      <c r="D159">
        <v>7</v>
      </c>
      <c r="E159" t="s">
        <v>23</v>
      </c>
      <c r="F159" t="s">
        <v>26</v>
      </c>
      <c r="G159" t="s">
        <v>19</v>
      </c>
    </row>
    <row r="160" spans="1:7" x14ac:dyDescent="0.25">
      <c r="A160" t="s">
        <v>171</v>
      </c>
      <c r="B160">
        <v>829</v>
      </c>
      <c r="C160">
        <v>19</v>
      </c>
      <c r="D160">
        <v>4</v>
      </c>
      <c r="E160" t="s">
        <v>8</v>
      </c>
      <c r="F160" t="s">
        <v>18</v>
      </c>
      <c r="G160" t="s">
        <v>19</v>
      </c>
    </row>
    <row r="161" spans="1:7" x14ac:dyDescent="0.25">
      <c r="A161" t="s">
        <v>20</v>
      </c>
      <c r="B161">
        <v>561</v>
      </c>
      <c r="C161">
        <v>212</v>
      </c>
      <c r="D161">
        <v>3</v>
      </c>
      <c r="E161" t="s">
        <v>23</v>
      </c>
      <c r="F161" t="s">
        <v>26</v>
      </c>
      <c r="G161" t="s">
        <v>10</v>
      </c>
    </row>
    <row r="162" spans="1:7" x14ac:dyDescent="0.25">
      <c r="A162" t="s">
        <v>103</v>
      </c>
      <c r="B162">
        <v>771</v>
      </c>
      <c r="C162">
        <v>-424</v>
      </c>
      <c r="D162">
        <v>2</v>
      </c>
      <c r="E162" t="s">
        <v>8</v>
      </c>
      <c r="F162" t="s">
        <v>21</v>
      </c>
      <c r="G162" t="s">
        <v>19</v>
      </c>
    </row>
    <row r="163" spans="1:7" x14ac:dyDescent="0.25">
      <c r="A163" t="s">
        <v>172</v>
      </c>
      <c r="B163">
        <v>765</v>
      </c>
      <c r="C163">
        <v>8</v>
      </c>
      <c r="D163">
        <v>6</v>
      </c>
      <c r="E163" t="s">
        <v>23</v>
      </c>
      <c r="F163" t="s">
        <v>26</v>
      </c>
      <c r="G163" t="s">
        <v>14</v>
      </c>
    </row>
    <row r="164" spans="1:7" x14ac:dyDescent="0.25">
      <c r="A164" t="s">
        <v>173</v>
      </c>
      <c r="B164">
        <v>31</v>
      </c>
      <c r="C164">
        <v>2</v>
      </c>
      <c r="D164">
        <v>2</v>
      </c>
      <c r="E164" t="s">
        <v>23</v>
      </c>
      <c r="F164" t="s">
        <v>30</v>
      </c>
      <c r="G164" t="s">
        <v>10</v>
      </c>
    </row>
    <row r="165" spans="1:7" x14ac:dyDescent="0.25">
      <c r="A165" t="s">
        <v>174</v>
      </c>
      <c r="B165">
        <v>557</v>
      </c>
      <c r="C165">
        <v>-111</v>
      </c>
      <c r="D165">
        <v>2</v>
      </c>
      <c r="E165" t="s">
        <v>8</v>
      </c>
      <c r="F165" t="s">
        <v>9</v>
      </c>
      <c r="G165" t="s">
        <v>10</v>
      </c>
    </row>
    <row r="166" spans="1:7" x14ac:dyDescent="0.25">
      <c r="A166" t="s">
        <v>172</v>
      </c>
      <c r="B166">
        <v>757</v>
      </c>
      <c r="C166">
        <v>371</v>
      </c>
      <c r="D166">
        <v>2</v>
      </c>
      <c r="E166" t="s">
        <v>8</v>
      </c>
      <c r="F166" t="s">
        <v>18</v>
      </c>
      <c r="G166" t="s">
        <v>19</v>
      </c>
    </row>
    <row r="167" spans="1:7" x14ac:dyDescent="0.25">
      <c r="A167" t="s">
        <v>175</v>
      </c>
      <c r="B167">
        <v>545</v>
      </c>
      <c r="C167">
        <v>-73</v>
      </c>
      <c r="D167">
        <v>11</v>
      </c>
      <c r="E167" t="s">
        <v>8</v>
      </c>
      <c r="F167" t="s">
        <v>21</v>
      </c>
      <c r="G167" t="s">
        <v>10</v>
      </c>
    </row>
    <row r="168" spans="1:7" x14ac:dyDescent="0.25">
      <c r="A168" t="s">
        <v>176</v>
      </c>
      <c r="B168">
        <v>1052</v>
      </c>
      <c r="C168">
        <v>-82</v>
      </c>
      <c r="D168">
        <v>3</v>
      </c>
      <c r="E168" t="s">
        <v>12</v>
      </c>
      <c r="F168" t="s">
        <v>16</v>
      </c>
      <c r="G168" t="s">
        <v>28</v>
      </c>
    </row>
    <row r="169" spans="1:7" x14ac:dyDescent="0.25">
      <c r="A169" t="s">
        <v>177</v>
      </c>
      <c r="B169">
        <v>544</v>
      </c>
      <c r="C169">
        <v>-152</v>
      </c>
      <c r="D169">
        <v>3</v>
      </c>
      <c r="E169" t="s">
        <v>12</v>
      </c>
      <c r="F169" t="s">
        <v>16</v>
      </c>
      <c r="G169" t="s">
        <v>10</v>
      </c>
    </row>
    <row r="170" spans="1:7" x14ac:dyDescent="0.25">
      <c r="A170" t="s">
        <v>178</v>
      </c>
      <c r="B170">
        <v>22</v>
      </c>
      <c r="C170">
        <v>9</v>
      </c>
      <c r="D170">
        <v>2</v>
      </c>
      <c r="E170" t="s">
        <v>23</v>
      </c>
      <c r="F170" t="s">
        <v>63</v>
      </c>
      <c r="G170" t="s">
        <v>82</v>
      </c>
    </row>
    <row r="171" spans="1:7" x14ac:dyDescent="0.25">
      <c r="A171" t="s">
        <v>48</v>
      </c>
      <c r="B171">
        <v>757</v>
      </c>
      <c r="C171">
        <v>371</v>
      </c>
      <c r="D171">
        <v>2</v>
      </c>
      <c r="E171" t="s">
        <v>8</v>
      </c>
      <c r="F171" t="s">
        <v>18</v>
      </c>
      <c r="G171" t="s">
        <v>19</v>
      </c>
    </row>
    <row r="172" spans="1:7" x14ac:dyDescent="0.25">
      <c r="A172" t="s">
        <v>179</v>
      </c>
      <c r="B172">
        <v>742</v>
      </c>
      <c r="C172">
        <v>198</v>
      </c>
      <c r="D172">
        <v>2</v>
      </c>
      <c r="E172" t="s">
        <v>12</v>
      </c>
      <c r="F172" t="s">
        <v>16</v>
      </c>
      <c r="G172" t="s">
        <v>19</v>
      </c>
    </row>
    <row r="173" spans="1:7" x14ac:dyDescent="0.25">
      <c r="A173" t="s">
        <v>180</v>
      </c>
      <c r="B173">
        <v>537</v>
      </c>
      <c r="C173">
        <v>107</v>
      </c>
      <c r="D173">
        <v>3</v>
      </c>
      <c r="E173" t="s">
        <v>23</v>
      </c>
      <c r="F173" t="s">
        <v>26</v>
      </c>
      <c r="G173" t="s">
        <v>10</v>
      </c>
    </row>
    <row r="174" spans="1:7" x14ac:dyDescent="0.25">
      <c r="A174" t="s">
        <v>172</v>
      </c>
      <c r="B174">
        <v>536</v>
      </c>
      <c r="C174">
        <v>91</v>
      </c>
      <c r="D174">
        <v>1</v>
      </c>
      <c r="E174" t="s">
        <v>23</v>
      </c>
      <c r="F174" t="s">
        <v>24</v>
      </c>
      <c r="G174" t="s">
        <v>10</v>
      </c>
    </row>
    <row r="175" spans="1:7" x14ac:dyDescent="0.25">
      <c r="A175" t="s">
        <v>123</v>
      </c>
      <c r="B175">
        <v>6</v>
      </c>
      <c r="C175">
        <v>3</v>
      </c>
      <c r="D175">
        <v>1</v>
      </c>
      <c r="E175" t="s">
        <v>23</v>
      </c>
      <c r="F175" t="s">
        <v>30</v>
      </c>
      <c r="G175" t="s">
        <v>10</v>
      </c>
    </row>
    <row r="176" spans="1:7" x14ac:dyDescent="0.25">
      <c r="A176" t="s">
        <v>7</v>
      </c>
      <c r="B176">
        <v>523</v>
      </c>
      <c r="C176">
        <v>204</v>
      </c>
      <c r="D176">
        <v>7</v>
      </c>
      <c r="E176" t="s">
        <v>23</v>
      </c>
      <c r="F176" t="s">
        <v>24</v>
      </c>
      <c r="G176" t="s">
        <v>10</v>
      </c>
    </row>
    <row r="177" spans="1:7" x14ac:dyDescent="0.25">
      <c r="A177" t="s">
        <v>181</v>
      </c>
      <c r="B177">
        <v>27</v>
      </c>
      <c r="C177">
        <v>9</v>
      </c>
      <c r="D177">
        <v>2</v>
      </c>
      <c r="E177" t="s">
        <v>23</v>
      </c>
      <c r="F177" t="s">
        <v>81</v>
      </c>
      <c r="G177" t="s">
        <v>28</v>
      </c>
    </row>
    <row r="178" spans="1:7" x14ac:dyDescent="0.25">
      <c r="A178" t="s">
        <v>182</v>
      </c>
      <c r="B178">
        <v>516</v>
      </c>
      <c r="C178">
        <v>392</v>
      </c>
      <c r="D178">
        <v>8</v>
      </c>
      <c r="E178" t="s">
        <v>12</v>
      </c>
      <c r="F178" t="s">
        <v>13</v>
      </c>
      <c r="G178" t="s">
        <v>10</v>
      </c>
    </row>
    <row r="179" spans="1:7" x14ac:dyDescent="0.25">
      <c r="A179" t="s">
        <v>183</v>
      </c>
      <c r="B179">
        <v>504</v>
      </c>
      <c r="C179">
        <v>116</v>
      </c>
      <c r="D179">
        <v>3</v>
      </c>
      <c r="E179" t="s">
        <v>12</v>
      </c>
      <c r="F179" t="s">
        <v>16</v>
      </c>
      <c r="G179" t="s">
        <v>10</v>
      </c>
    </row>
    <row r="180" spans="1:7" x14ac:dyDescent="0.25">
      <c r="A180" t="s">
        <v>184</v>
      </c>
      <c r="B180">
        <v>502</v>
      </c>
      <c r="C180">
        <v>84</v>
      </c>
      <c r="D180">
        <v>4</v>
      </c>
      <c r="E180" t="s">
        <v>8</v>
      </c>
      <c r="F180" t="s">
        <v>21</v>
      </c>
      <c r="G180" t="s">
        <v>10</v>
      </c>
    </row>
    <row r="181" spans="1:7" x14ac:dyDescent="0.25">
      <c r="A181" t="s">
        <v>185</v>
      </c>
      <c r="B181">
        <v>734</v>
      </c>
      <c r="C181">
        <v>213</v>
      </c>
      <c r="D181">
        <v>6</v>
      </c>
      <c r="E181" t="s">
        <v>8</v>
      </c>
      <c r="F181" t="s">
        <v>9</v>
      </c>
      <c r="G181" t="s">
        <v>19</v>
      </c>
    </row>
    <row r="182" spans="1:7" x14ac:dyDescent="0.25">
      <c r="A182" t="s">
        <v>186</v>
      </c>
      <c r="B182">
        <v>42</v>
      </c>
      <c r="C182">
        <v>12</v>
      </c>
      <c r="D182">
        <v>2</v>
      </c>
      <c r="E182" t="s">
        <v>23</v>
      </c>
      <c r="F182" t="s">
        <v>32</v>
      </c>
      <c r="G182" t="s">
        <v>10</v>
      </c>
    </row>
    <row r="183" spans="1:7" x14ac:dyDescent="0.25">
      <c r="A183" t="s">
        <v>187</v>
      </c>
      <c r="B183">
        <v>29</v>
      </c>
      <c r="C183">
        <v>11</v>
      </c>
      <c r="D183">
        <v>4</v>
      </c>
      <c r="E183" t="s">
        <v>23</v>
      </c>
      <c r="F183" t="s">
        <v>43</v>
      </c>
      <c r="G183" t="s">
        <v>10</v>
      </c>
    </row>
    <row r="184" spans="1:7" x14ac:dyDescent="0.25">
      <c r="A184" t="s">
        <v>188</v>
      </c>
      <c r="B184">
        <v>240</v>
      </c>
      <c r="C184">
        <v>12</v>
      </c>
      <c r="D184">
        <v>6</v>
      </c>
      <c r="E184" t="s">
        <v>23</v>
      </c>
      <c r="F184" t="s">
        <v>32</v>
      </c>
      <c r="G184" t="s">
        <v>28</v>
      </c>
    </row>
    <row r="185" spans="1:7" x14ac:dyDescent="0.25">
      <c r="A185" t="s">
        <v>189</v>
      </c>
      <c r="B185">
        <v>496</v>
      </c>
      <c r="C185">
        <v>-79</v>
      </c>
      <c r="D185">
        <v>2</v>
      </c>
      <c r="E185" t="s">
        <v>23</v>
      </c>
      <c r="F185" t="s">
        <v>24</v>
      </c>
      <c r="G185" t="s">
        <v>10</v>
      </c>
    </row>
    <row r="186" spans="1:7" x14ac:dyDescent="0.25">
      <c r="A186" t="s">
        <v>190</v>
      </c>
      <c r="B186">
        <v>485</v>
      </c>
      <c r="C186">
        <v>29</v>
      </c>
      <c r="D186">
        <v>4</v>
      </c>
      <c r="E186" t="s">
        <v>8</v>
      </c>
      <c r="F186" t="s">
        <v>9</v>
      </c>
      <c r="G186" t="s">
        <v>10</v>
      </c>
    </row>
    <row r="187" spans="1:7" x14ac:dyDescent="0.25">
      <c r="A187" t="s">
        <v>191</v>
      </c>
      <c r="B187">
        <v>31</v>
      </c>
      <c r="C187">
        <v>-11</v>
      </c>
      <c r="D187">
        <v>3</v>
      </c>
      <c r="E187" t="s">
        <v>23</v>
      </c>
      <c r="F187" t="s">
        <v>43</v>
      </c>
      <c r="G187" t="s">
        <v>28</v>
      </c>
    </row>
    <row r="188" spans="1:7" x14ac:dyDescent="0.25">
      <c r="A188" t="s">
        <v>192</v>
      </c>
      <c r="B188">
        <v>676</v>
      </c>
      <c r="C188">
        <v>151</v>
      </c>
      <c r="D188">
        <v>3</v>
      </c>
      <c r="E188" t="s">
        <v>8</v>
      </c>
      <c r="F188" t="s">
        <v>18</v>
      </c>
      <c r="G188" t="s">
        <v>19</v>
      </c>
    </row>
    <row r="189" spans="1:7" x14ac:dyDescent="0.25">
      <c r="A189" t="s">
        <v>157</v>
      </c>
      <c r="B189">
        <v>23</v>
      </c>
      <c r="C189">
        <v>8</v>
      </c>
      <c r="D189">
        <v>2</v>
      </c>
      <c r="E189" t="s">
        <v>23</v>
      </c>
      <c r="F189" t="s">
        <v>30</v>
      </c>
      <c r="G189" t="s">
        <v>82</v>
      </c>
    </row>
    <row r="190" spans="1:7" x14ac:dyDescent="0.25">
      <c r="A190" t="s">
        <v>193</v>
      </c>
      <c r="B190">
        <v>13</v>
      </c>
      <c r="C190">
        <v>3</v>
      </c>
      <c r="D190">
        <v>2</v>
      </c>
      <c r="E190" t="s">
        <v>23</v>
      </c>
      <c r="F190" t="s">
        <v>30</v>
      </c>
      <c r="G190" t="s">
        <v>10</v>
      </c>
    </row>
    <row r="191" spans="1:7" x14ac:dyDescent="0.25">
      <c r="A191" t="s">
        <v>194</v>
      </c>
      <c r="B191">
        <v>180</v>
      </c>
      <c r="C191">
        <v>0</v>
      </c>
      <c r="D191">
        <v>8</v>
      </c>
      <c r="E191" t="s">
        <v>23</v>
      </c>
      <c r="F191" t="s">
        <v>57</v>
      </c>
      <c r="G191" t="s">
        <v>10</v>
      </c>
    </row>
    <row r="192" spans="1:7" x14ac:dyDescent="0.25">
      <c r="A192" t="s">
        <v>11</v>
      </c>
      <c r="B192">
        <v>671</v>
      </c>
      <c r="C192">
        <v>114</v>
      </c>
      <c r="D192">
        <v>9</v>
      </c>
      <c r="E192" t="s">
        <v>8</v>
      </c>
      <c r="F192" t="s">
        <v>21</v>
      </c>
      <c r="G192" t="s">
        <v>19</v>
      </c>
    </row>
    <row r="193" spans="1:7" x14ac:dyDescent="0.25">
      <c r="A193" t="s">
        <v>195</v>
      </c>
      <c r="B193">
        <v>22</v>
      </c>
      <c r="C193">
        <v>11</v>
      </c>
      <c r="D193">
        <v>3</v>
      </c>
      <c r="E193" t="s">
        <v>23</v>
      </c>
      <c r="F193" t="s">
        <v>32</v>
      </c>
      <c r="G193" t="s">
        <v>10</v>
      </c>
    </row>
    <row r="194" spans="1:7" x14ac:dyDescent="0.25">
      <c r="A194" t="s">
        <v>117</v>
      </c>
      <c r="B194">
        <v>668</v>
      </c>
      <c r="C194">
        <v>-31</v>
      </c>
      <c r="D194">
        <v>3</v>
      </c>
      <c r="E194" t="s">
        <v>8</v>
      </c>
      <c r="F194" t="s">
        <v>18</v>
      </c>
      <c r="G194" t="s">
        <v>19</v>
      </c>
    </row>
    <row r="195" spans="1:7" x14ac:dyDescent="0.25">
      <c r="A195" t="s">
        <v>122</v>
      </c>
      <c r="B195">
        <v>145</v>
      </c>
      <c r="C195">
        <v>0</v>
      </c>
      <c r="D195">
        <v>3</v>
      </c>
      <c r="E195" t="s">
        <v>23</v>
      </c>
      <c r="F195" t="s">
        <v>26</v>
      </c>
      <c r="G195" t="s">
        <v>28</v>
      </c>
    </row>
    <row r="196" spans="1:7" x14ac:dyDescent="0.25">
      <c r="A196" t="s">
        <v>196</v>
      </c>
      <c r="B196">
        <v>24</v>
      </c>
      <c r="C196">
        <v>8</v>
      </c>
      <c r="D196">
        <v>2</v>
      </c>
      <c r="E196" t="s">
        <v>23</v>
      </c>
      <c r="F196" t="s">
        <v>43</v>
      </c>
      <c r="G196" t="s">
        <v>82</v>
      </c>
    </row>
    <row r="197" spans="1:7" x14ac:dyDescent="0.25">
      <c r="A197" t="s">
        <v>87</v>
      </c>
      <c r="B197">
        <v>476</v>
      </c>
      <c r="C197">
        <v>0</v>
      </c>
      <c r="D197">
        <v>3</v>
      </c>
      <c r="E197" t="s">
        <v>12</v>
      </c>
      <c r="F197" t="s">
        <v>13</v>
      </c>
      <c r="G197" t="s">
        <v>10</v>
      </c>
    </row>
    <row r="198" spans="1:7" x14ac:dyDescent="0.25">
      <c r="A198" t="s">
        <v>185</v>
      </c>
      <c r="B198">
        <v>24</v>
      </c>
      <c r="C198">
        <v>11</v>
      </c>
      <c r="D198">
        <v>5</v>
      </c>
      <c r="E198" t="s">
        <v>23</v>
      </c>
      <c r="F198" t="s">
        <v>30</v>
      </c>
      <c r="G198" t="s">
        <v>82</v>
      </c>
    </row>
    <row r="199" spans="1:7" x14ac:dyDescent="0.25">
      <c r="A199" t="s">
        <v>22</v>
      </c>
      <c r="B199">
        <v>37</v>
      </c>
      <c r="C199">
        <v>3</v>
      </c>
      <c r="D199">
        <v>3</v>
      </c>
      <c r="E199" t="s">
        <v>23</v>
      </c>
      <c r="F199" t="s">
        <v>30</v>
      </c>
      <c r="G199" t="s">
        <v>10</v>
      </c>
    </row>
    <row r="200" spans="1:7" x14ac:dyDescent="0.25">
      <c r="A200" t="s">
        <v>197</v>
      </c>
      <c r="B200">
        <v>152</v>
      </c>
      <c r="C200">
        <v>50</v>
      </c>
      <c r="D200">
        <v>6</v>
      </c>
      <c r="E200" t="s">
        <v>23</v>
      </c>
      <c r="F200" t="s">
        <v>57</v>
      </c>
      <c r="G200" t="s">
        <v>28</v>
      </c>
    </row>
    <row r="201" spans="1:7" x14ac:dyDescent="0.25">
      <c r="A201" t="s">
        <v>198</v>
      </c>
      <c r="B201">
        <v>32</v>
      </c>
      <c r="C201">
        <v>11</v>
      </c>
      <c r="D201">
        <v>2</v>
      </c>
      <c r="E201" t="s">
        <v>23</v>
      </c>
      <c r="F201" t="s">
        <v>63</v>
      </c>
      <c r="G201" t="s">
        <v>28</v>
      </c>
    </row>
    <row r="202" spans="1:7" x14ac:dyDescent="0.25">
      <c r="A202" t="s">
        <v>199</v>
      </c>
      <c r="B202">
        <v>52</v>
      </c>
      <c r="C202">
        <v>11</v>
      </c>
      <c r="D202">
        <v>5</v>
      </c>
      <c r="E202" t="s">
        <v>23</v>
      </c>
      <c r="F202" t="s">
        <v>63</v>
      </c>
      <c r="G202" t="s">
        <v>10</v>
      </c>
    </row>
    <row r="203" spans="1:7" x14ac:dyDescent="0.25">
      <c r="A203" t="s">
        <v>200</v>
      </c>
      <c r="B203">
        <v>24</v>
      </c>
      <c r="C203">
        <v>11</v>
      </c>
      <c r="D203">
        <v>3</v>
      </c>
      <c r="E203" t="s">
        <v>23</v>
      </c>
      <c r="F203" t="s">
        <v>30</v>
      </c>
      <c r="G203" t="s">
        <v>82</v>
      </c>
    </row>
    <row r="204" spans="1:7" x14ac:dyDescent="0.25">
      <c r="A204" t="s">
        <v>121</v>
      </c>
      <c r="B204">
        <v>473</v>
      </c>
      <c r="C204">
        <v>42</v>
      </c>
      <c r="D204">
        <v>4</v>
      </c>
      <c r="E204" t="s">
        <v>12</v>
      </c>
      <c r="F204" t="s">
        <v>13</v>
      </c>
      <c r="G204" t="s">
        <v>10</v>
      </c>
    </row>
    <row r="205" spans="1:7" x14ac:dyDescent="0.25">
      <c r="A205" t="s">
        <v>201</v>
      </c>
      <c r="B205">
        <v>263</v>
      </c>
      <c r="C205">
        <v>50</v>
      </c>
      <c r="D205">
        <v>5</v>
      </c>
      <c r="E205" t="s">
        <v>23</v>
      </c>
      <c r="F205" t="s">
        <v>57</v>
      </c>
      <c r="G205" t="s">
        <v>10</v>
      </c>
    </row>
    <row r="206" spans="1:7" x14ac:dyDescent="0.25">
      <c r="A206" t="s">
        <v>202</v>
      </c>
      <c r="B206">
        <v>61</v>
      </c>
      <c r="C206">
        <v>11</v>
      </c>
      <c r="D206">
        <v>3</v>
      </c>
      <c r="E206" t="s">
        <v>23</v>
      </c>
      <c r="F206" t="s">
        <v>32</v>
      </c>
      <c r="G206" t="s">
        <v>10</v>
      </c>
    </row>
    <row r="207" spans="1:7" x14ac:dyDescent="0.25">
      <c r="A207" t="s">
        <v>203</v>
      </c>
      <c r="B207">
        <v>469</v>
      </c>
      <c r="C207">
        <v>-459</v>
      </c>
      <c r="D207">
        <v>3</v>
      </c>
      <c r="E207" t="s">
        <v>8</v>
      </c>
      <c r="F207" t="s">
        <v>9</v>
      </c>
      <c r="G207" t="s">
        <v>10</v>
      </c>
    </row>
    <row r="208" spans="1:7" x14ac:dyDescent="0.25">
      <c r="A208" t="s">
        <v>204</v>
      </c>
      <c r="B208">
        <v>1272</v>
      </c>
      <c r="C208">
        <v>547</v>
      </c>
      <c r="D208">
        <v>2</v>
      </c>
      <c r="E208" t="s">
        <v>8</v>
      </c>
      <c r="F208" t="s">
        <v>21</v>
      </c>
      <c r="G208" t="s">
        <v>10</v>
      </c>
    </row>
    <row r="209" spans="1:7" x14ac:dyDescent="0.25">
      <c r="A209" t="s">
        <v>200</v>
      </c>
      <c r="B209">
        <v>169</v>
      </c>
      <c r="C209">
        <v>0</v>
      </c>
      <c r="D209">
        <v>3</v>
      </c>
      <c r="E209" t="s">
        <v>8</v>
      </c>
      <c r="F209" t="s">
        <v>73</v>
      </c>
      <c r="G209" t="s">
        <v>10</v>
      </c>
    </row>
    <row r="210" spans="1:7" x14ac:dyDescent="0.25">
      <c r="A210" t="s">
        <v>134</v>
      </c>
      <c r="B210">
        <v>25</v>
      </c>
      <c r="C210">
        <v>11</v>
      </c>
      <c r="D210">
        <v>3</v>
      </c>
      <c r="E210" t="s">
        <v>23</v>
      </c>
      <c r="F210" t="s">
        <v>63</v>
      </c>
      <c r="G210" t="s">
        <v>82</v>
      </c>
    </row>
    <row r="211" spans="1:7" x14ac:dyDescent="0.25">
      <c r="A211" t="s">
        <v>119</v>
      </c>
      <c r="B211">
        <v>457</v>
      </c>
      <c r="C211">
        <v>-41</v>
      </c>
      <c r="D211">
        <v>4</v>
      </c>
      <c r="E211" t="s">
        <v>23</v>
      </c>
      <c r="F211" t="s">
        <v>26</v>
      </c>
      <c r="G211" t="s">
        <v>10</v>
      </c>
    </row>
    <row r="212" spans="1:7" x14ac:dyDescent="0.25">
      <c r="A212" t="s">
        <v>134</v>
      </c>
      <c r="B212">
        <v>455</v>
      </c>
      <c r="C212">
        <v>77</v>
      </c>
      <c r="D212">
        <v>8</v>
      </c>
      <c r="E212" t="s">
        <v>8</v>
      </c>
      <c r="F212" t="s">
        <v>73</v>
      </c>
      <c r="G212" t="s">
        <v>10</v>
      </c>
    </row>
    <row r="213" spans="1:7" x14ac:dyDescent="0.25">
      <c r="A213" t="s">
        <v>126</v>
      </c>
      <c r="B213">
        <v>25</v>
      </c>
      <c r="C213">
        <v>2</v>
      </c>
      <c r="D213">
        <v>2</v>
      </c>
      <c r="E213" t="s">
        <v>23</v>
      </c>
      <c r="F213" t="s">
        <v>30</v>
      </c>
      <c r="G213" t="s">
        <v>82</v>
      </c>
    </row>
    <row r="214" spans="1:7" x14ac:dyDescent="0.25">
      <c r="A214" t="s">
        <v>205</v>
      </c>
      <c r="B214">
        <v>450</v>
      </c>
      <c r="C214">
        <v>-90</v>
      </c>
      <c r="D214">
        <v>3</v>
      </c>
      <c r="E214" t="s">
        <v>8</v>
      </c>
      <c r="F214" t="s">
        <v>18</v>
      </c>
      <c r="G214" t="s">
        <v>10</v>
      </c>
    </row>
    <row r="215" spans="1:7" x14ac:dyDescent="0.25">
      <c r="A215" t="s">
        <v>206</v>
      </c>
      <c r="B215">
        <v>30</v>
      </c>
      <c r="C215">
        <v>-35</v>
      </c>
      <c r="D215">
        <v>1</v>
      </c>
      <c r="E215" t="s">
        <v>12</v>
      </c>
      <c r="F215" t="s">
        <v>13</v>
      </c>
      <c r="G215" t="s">
        <v>10</v>
      </c>
    </row>
    <row r="216" spans="1:7" x14ac:dyDescent="0.25">
      <c r="A216" t="s">
        <v>207</v>
      </c>
      <c r="B216">
        <v>659</v>
      </c>
      <c r="C216">
        <v>-37</v>
      </c>
      <c r="D216">
        <v>2</v>
      </c>
      <c r="E216" t="s">
        <v>12</v>
      </c>
      <c r="F216" t="s">
        <v>16</v>
      </c>
      <c r="G216" t="s">
        <v>19</v>
      </c>
    </row>
    <row r="217" spans="1:7" x14ac:dyDescent="0.25">
      <c r="A217" t="s">
        <v>208</v>
      </c>
      <c r="B217">
        <v>448</v>
      </c>
      <c r="C217">
        <v>148</v>
      </c>
      <c r="D217">
        <v>2</v>
      </c>
      <c r="E217" t="s">
        <v>8</v>
      </c>
      <c r="F217" t="s">
        <v>18</v>
      </c>
      <c r="G217" t="s">
        <v>10</v>
      </c>
    </row>
    <row r="218" spans="1:7" x14ac:dyDescent="0.25">
      <c r="A218" t="s">
        <v>209</v>
      </c>
      <c r="B218">
        <v>446</v>
      </c>
      <c r="C218">
        <v>53</v>
      </c>
      <c r="D218">
        <v>3</v>
      </c>
      <c r="E218" t="s">
        <v>8</v>
      </c>
      <c r="F218" t="s">
        <v>18</v>
      </c>
      <c r="G218" t="s">
        <v>10</v>
      </c>
    </row>
    <row r="219" spans="1:7" x14ac:dyDescent="0.25">
      <c r="A219" t="s">
        <v>210</v>
      </c>
      <c r="B219">
        <v>98</v>
      </c>
      <c r="C219">
        <v>-45</v>
      </c>
      <c r="D219">
        <v>2</v>
      </c>
      <c r="E219" t="s">
        <v>12</v>
      </c>
      <c r="F219" t="s">
        <v>13</v>
      </c>
      <c r="G219" t="s">
        <v>28</v>
      </c>
    </row>
    <row r="220" spans="1:7" x14ac:dyDescent="0.25">
      <c r="A220" t="s">
        <v>11</v>
      </c>
      <c r="B220">
        <v>443</v>
      </c>
      <c r="C220">
        <v>11</v>
      </c>
      <c r="D220">
        <v>1</v>
      </c>
      <c r="E220" t="s">
        <v>23</v>
      </c>
      <c r="F220" t="s">
        <v>26</v>
      </c>
      <c r="G220" t="s">
        <v>10</v>
      </c>
    </row>
    <row r="221" spans="1:7" x14ac:dyDescent="0.25">
      <c r="A221" t="s">
        <v>117</v>
      </c>
      <c r="B221">
        <v>427</v>
      </c>
      <c r="C221">
        <v>-50</v>
      </c>
      <c r="D221">
        <v>7</v>
      </c>
      <c r="E221" t="s">
        <v>8</v>
      </c>
      <c r="F221" t="s">
        <v>21</v>
      </c>
      <c r="G221" t="s">
        <v>10</v>
      </c>
    </row>
    <row r="222" spans="1:7" x14ac:dyDescent="0.25">
      <c r="A222" t="s">
        <v>155</v>
      </c>
      <c r="B222">
        <v>656</v>
      </c>
      <c r="C222">
        <v>-36</v>
      </c>
      <c r="D222">
        <v>2</v>
      </c>
      <c r="E222" t="s">
        <v>12</v>
      </c>
      <c r="F222" t="s">
        <v>16</v>
      </c>
      <c r="G222" t="s">
        <v>19</v>
      </c>
    </row>
    <row r="223" spans="1:7" x14ac:dyDescent="0.25">
      <c r="A223" t="s">
        <v>211</v>
      </c>
      <c r="B223">
        <v>424</v>
      </c>
      <c r="C223">
        <v>161</v>
      </c>
      <c r="D223">
        <v>2</v>
      </c>
      <c r="E223" t="s">
        <v>23</v>
      </c>
      <c r="F223" t="s">
        <v>26</v>
      </c>
      <c r="G223" t="s">
        <v>10</v>
      </c>
    </row>
    <row r="224" spans="1:7" x14ac:dyDescent="0.25">
      <c r="A224" t="s">
        <v>106</v>
      </c>
      <c r="B224">
        <v>27</v>
      </c>
      <c r="C224">
        <v>8</v>
      </c>
      <c r="D224">
        <v>2</v>
      </c>
      <c r="E224" t="s">
        <v>23</v>
      </c>
      <c r="F224" t="s">
        <v>81</v>
      </c>
      <c r="G224" t="s">
        <v>82</v>
      </c>
    </row>
    <row r="225" spans="1:7" x14ac:dyDescent="0.25">
      <c r="A225" t="s">
        <v>20</v>
      </c>
      <c r="B225">
        <v>424</v>
      </c>
      <c r="C225">
        <v>-272</v>
      </c>
      <c r="D225">
        <v>5</v>
      </c>
      <c r="E225" t="s">
        <v>8</v>
      </c>
      <c r="F225" t="s">
        <v>21</v>
      </c>
      <c r="G225" t="s">
        <v>10</v>
      </c>
    </row>
    <row r="226" spans="1:7" x14ac:dyDescent="0.25">
      <c r="A226" t="s">
        <v>212</v>
      </c>
      <c r="B226">
        <v>202</v>
      </c>
      <c r="C226">
        <v>4</v>
      </c>
      <c r="D226">
        <v>4</v>
      </c>
      <c r="E226" t="s">
        <v>23</v>
      </c>
      <c r="F226" t="s">
        <v>30</v>
      </c>
      <c r="G226" t="s">
        <v>10</v>
      </c>
    </row>
    <row r="227" spans="1:7" x14ac:dyDescent="0.25">
      <c r="A227" t="s">
        <v>186</v>
      </c>
      <c r="B227">
        <v>1275</v>
      </c>
      <c r="C227">
        <v>357</v>
      </c>
      <c r="D227">
        <v>2</v>
      </c>
      <c r="E227" t="s">
        <v>8</v>
      </c>
      <c r="F227" t="s">
        <v>21</v>
      </c>
      <c r="G227" t="s">
        <v>28</v>
      </c>
    </row>
    <row r="228" spans="1:7" x14ac:dyDescent="0.25">
      <c r="A228" t="s">
        <v>37</v>
      </c>
      <c r="B228">
        <v>418</v>
      </c>
      <c r="C228">
        <v>70</v>
      </c>
      <c r="D228">
        <v>7</v>
      </c>
      <c r="E228" t="s">
        <v>8</v>
      </c>
      <c r="F228" t="s">
        <v>21</v>
      </c>
      <c r="G228" t="s">
        <v>10</v>
      </c>
    </row>
    <row r="229" spans="1:7" x14ac:dyDescent="0.25">
      <c r="A229" t="s">
        <v>213</v>
      </c>
      <c r="B229">
        <v>417</v>
      </c>
      <c r="C229">
        <v>49</v>
      </c>
      <c r="D229">
        <v>3</v>
      </c>
      <c r="E229" t="s">
        <v>8</v>
      </c>
      <c r="F229" t="s">
        <v>9</v>
      </c>
      <c r="G229" t="s">
        <v>10</v>
      </c>
    </row>
    <row r="230" spans="1:7" x14ac:dyDescent="0.25">
      <c r="A230" t="s">
        <v>41</v>
      </c>
      <c r="B230">
        <v>199</v>
      </c>
      <c r="C230">
        <v>48</v>
      </c>
      <c r="D230">
        <v>4</v>
      </c>
      <c r="E230" t="s">
        <v>23</v>
      </c>
      <c r="F230" t="s">
        <v>57</v>
      </c>
      <c r="G230" t="s">
        <v>28</v>
      </c>
    </row>
    <row r="231" spans="1:7" x14ac:dyDescent="0.25">
      <c r="A231" t="s">
        <v>161</v>
      </c>
      <c r="B231">
        <v>385</v>
      </c>
      <c r="C231">
        <v>-77</v>
      </c>
      <c r="D231">
        <v>11</v>
      </c>
      <c r="E231" t="s">
        <v>12</v>
      </c>
      <c r="F231" t="s">
        <v>131</v>
      </c>
      <c r="G231" t="s">
        <v>28</v>
      </c>
    </row>
    <row r="232" spans="1:7" x14ac:dyDescent="0.25">
      <c r="A232" t="s">
        <v>164</v>
      </c>
      <c r="B232">
        <v>414</v>
      </c>
      <c r="C232">
        <v>199</v>
      </c>
      <c r="D232">
        <v>3</v>
      </c>
      <c r="E232" t="s">
        <v>8</v>
      </c>
      <c r="F232" t="s">
        <v>21</v>
      </c>
      <c r="G232" t="s">
        <v>10</v>
      </c>
    </row>
    <row r="233" spans="1:7" x14ac:dyDescent="0.25">
      <c r="A233" t="s">
        <v>33</v>
      </c>
      <c r="B233">
        <v>97</v>
      </c>
      <c r="C233">
        <v>-45</v>
      </c>
      <c r="D233">
        <v>4</v>
      </c>
      <c r="E233" t="s">
        <v>23</v>
      </c>
      <c r="F233" t="s">
        <v>26</v>
      </c>
      <c r="G233" t="s">
        <v>10</v>
      </c>
    </row>
    <row r="234" spans="1:7" x14ac:dyDescent="0.25">
      <c r="A234" t="s">
        <v>214</v>
      </c>
      <c r="B234">
        <v>648</v>
      </c>
      <c r="C234">
        <v>50</v>
      </c>
      <c r="D234">
        <v>6</v>
      </c>
      <c r="E234" t="s">
        <v>8</v>
      </c>
      <c r="F234" t="s">
        <v>9</v>
      </c>
      <c r="G234" t="s">
        <v>19</v>
      </c>
    </row>
    <row r="235" spans="1:7" x14ac:dyDescent="0.25">
      <c r="A235" t="s">
        <v>215</v>
      </c>
      <c r="B235">
        <v>27</v>
      </c>
      <c r="C235">
        <v>-25</v>
      </c>
      <c r="D235">
        <v>2</v>
      </c>
      <c r="E235" t="s">
        <v>23</v>
      </c>
      <c r="F235" t="s">
        <v>142</v>
      </c>
      <c r="G235" t="s">
        <v>82</v>
      </c>
    </row>
    <row r="236" spans="1:7" x14ac:dyDescent="0.25">
      <c r="A236" t="s">
        <v>216</v>
      </c>
      <c r="B236">
        <v>27</v>
      </c>
      <c r="C236">
        <v>12</v>
      </c>
      <c r="D236">
        <v>1</v>
      </c>
      <c r="E236" t="s">
        <v>23</v>
      </c>
      <c r="F236" t="s">
        <v>57</v>
      </c>
      <c r="G236" t="s">
        <v>82</v>
      </c>
    </row>
    <row r="237" spans="1:7" x14ac:dyDescent="0.25">
      <c r="A237" t="s">
        <v>217</v>
      </c>
      <c r="B237">
        <v>27</v>
      </c>
      <c r="C237">
        <v>1</v>
      </c>
      <c r="D237">
        <v>1</v>
      </c>
      <c r="E237" t="s">
        <v>23</v>
      </c>
      <c r="F237" t="s">
        <v>57</v>
      </c>
      <c r="G237" t="s">
        <v>28</v>
      </c>
    </row>
    <row r="238" spans="1:7" x14ac:dyDescent="0.25">
      <c r="A238" t="s">
        <v>64</v>
      </c>
      <c r="B238">
        <v>413</v>
      </c>
      <c r="C238">
        <v>-314</v>
      </c>
      <c r="D238">
        <v>9</v>
      </c>
      <c r="E238" t="s">
        <v>12</v>
      </c>
      <c r="F238" t="s">
        <v>13</v>
      </c>
      <c r="G238" t="s">
        <v>10</v>
      </c>
    </row>
    <row r="239" spans="1:7" x14ac:dyDescent="0.25">
      <c r="A239" t="s">
        <v>129</v>
      </c>
      <c r="B239">
        <v>53</v>
      </c>
      <c r="C239">
        <v>2</v>
      </c>
      <c r="D239">
        <v>4</v>
      </c>
      <c r="E239" t="s">
        <v>23</v>
      </c>
      <c r="F239" t="s">
        <v>30</v>
      </c>
      <c r="G239" t="s">
        <v>10</v>
      </c>
    </row>
    <row r="240" spans="1:7" x14ac:dyDescent="0.25">
      <c r="A240" t="s">
        <v>79</v>
      </c>
      <c r="B240">
        <v>29</v>
      </c>
      <c r="C240">
        <v>8</v>
      </c>
      <c r="D240">
        <v>5</v>
      </c>
      <c r="E240" t="s">
        <v>23</v>
      </c>
      <c r="F240" t="s">
        <v>30</v>
      </c>
      <c r="G240" t="s">
        <v>28</v>
      </c>
    </row>
    <row r="241" spans="1:7" x14ac:dyDescent="0.25">
      <c r="A241" t="s">
        <v>218</v>
      </c>
      <c r="B241">
        <v>30</v>
      </c>
      <c r="C241">
        <v>13</v>
      </c>
      <c r="D241">
        <v>1</v>
      </c>
      <c r="E241" t="s">
        <v>23</v>
      </c>
      <c r="F241" t="s">
        <v>81</v>
      </c>
      <c r="G241" t="s">
        <v>28</v>
      </c>
    </row>
    <row r="242" spans="1:7" x14ac:dyDescent="0.25">
      <c r="A242" t="s">
        <v>219</v>
      </c>
      <c r="B242">
        <v>412</v>
      </c>
      <c r="C242">
        <v>412</v>
      </c>
      <c r="D242">
        <v>6</v>
      </c>
      <c r="E242" t="s">
        <v>23</v>
      </c>
      <c r="F242" t="s">
        <v>26</v>
      </c>
      <c r="G242" t="s">
        <v>10</v>
      </c>
    </row>
    <row r="243" spans="1:7" x14ac:dyDescent="0.25">
      <c r="A243" t="s">
        <v>220</v>
      </c>
      <c r="B243">
        <v>646</v>
      </c>
      <c r="C243">
        <v>-23</v>
      </c>
      <c r="D243">
        <v>2</v>
      </c>
      <c r="E243" t="s">
        <v>8</v>
      </c>
      <c r="F243" t="s">
        <v>18</v>
      </c>
      <c r="G243" t="s">
        <v>19</v>
      </c>
    </row>
    <row r="244" spans="1:7" x14ac:dyDescent="0.25">
      <c r="A244" t="s">
        <v>123</v>
      </c>
      <c r="B244">
        <v>30</v>
      </c>
      <c r="C244">
        <v>-5</v>
      </c>
      <c r="D244">
        <v>5</v>
      </c>
      <c r="E244" t="s">
        <v>23</v>
      </c>
      <c r="F244" t="s">
        <v>57</v>
      </c>
      <c r="G244" t="s">
        <v>28</v>
      </c>
    </row>
    <row r="245" spans="1:7" x14ac:dyDescent="0.25">
      <c r="A245" t="s">
        <v>129</v>
      </c>
      <c r="B245">
        <v>618</v>
      </c>
      <c r="C245">
        <v>27</v>
      </c>
      <c r="D245">
        <v>4</v>
      </c>
      <c r="E245" t="s">
        <v>12</v>
      </c>
      <c r="F245" t="s">
        <v>16</v>
      </c>
      <c r="G245" t="s">
        <v>19</v>
      </c>
    </row>
    <row r="246" spans="1:7" x14ac:dyDescent="0.25">
      <c r="A246" t="s">
        <v>221</v>
      </c>
      <c r="B246">
        <v>143</v>
      </c>
      <c r="C246">
        <v>-124</v>
      </c>
      <c r="D246">
        <v>5</v>
      </c>
      <c r="E246" t="s">
        <v>23</v>
      </c>
      <c r="F246" t="s">
        <v>26</v>
      </c>
      <c r="G246" t="s">
        <v>28</v>
      </c>
    </row>
    <row r="247" spans="1:7" x14ac:dyDescent="0.25">
      <c r="A247" t="s">
        <v>64</v>
      </c>
      <c r="B247">
        <v>31</v>
      </c>
      <c r="C247">
        <v>1</v>
      </c>
      <c r="D247">
        <v>2</v>
      </c>
      <c r="E247" t="s">
        <v>23</v>
      </c>
      <c r="F247" t="s">
        <v>30</v>
      </c>
      <c r="G247" t="s">
        <v>28</v>
      </c>
    </row>
    <row r="248" spans="1:7" x14ac:dyDescent="0.25">
      <c r="A248" t="s">
        <v>128</v>
      </c>
      <c r="B248">
        <v>409</v>
      </c>
      <c r="C248">
        <v>86</v>
      </c>
      <c r="D248">
        <v>3</v>
      </c>
      <c r="E248" t="s">
        <v>23</v>
      </c>
      <c r="F248" t="s">
        <v>26</v>
      </c>
      <c r="G248" t="s">
        <v>10</v>
      </c>
    </row>
    <row r="249" spans="1:7" x14ac:dyDescent="0.25">
      <c r="A249" t="s">
        <v>123</v>
      </c>
      <c r="B249">
        <v>406</v>
      </c>
      <c r="C249">
        <v>126</v>
      </c>
      <c r="D249">
        <v>2</v>
      </c>
      <c r="E249" t="s">
        <v>23</v>
      </c>
      <c r="F249" t="s">
        <v>26</v>
      </c>
      <c r="G249" t="s">
        <v>10</v>
      </c>
    </row>
    <row r="250" spans="1:7" x14ac:dyDescent="0.25">
      <c r="A250" t="s">
        <v>222</v>
      </c>
      <c r="B250">
        <v>565</v>
      </c>
      <c r="C250">
        <v>66</v>
      </c>
      <c r="D250">
        <v>7</v>
      </c>
      <c r="E250" t="s">
        <v>23</v>
      </c>
      <c r="F250" t="s">
        <v>26</v>
      </c>
      <c r="G250" t="s">
        <v>19</v>
      </c>
    </row>
    <row r="251" spans="1:7" x14ac:dyDescent="0.25">
      <c r="A251" t="s">
        <v>167</v>
      </c>
      <c r="B251">
        <v>85</v>
      </c>
      <c r="C251">
        <v>2</v>
      </c>
      <c r="D251">
        <v>6</v>
      </c>
      <c r="E251" t="s">
        <v>23</v>
      </c>
      <c r="F251" t="s">
        <v>57</v>
      </c>
      <c r="G251" t="s">
        <v>10</v>
      </c>
    </row>
    <row r="252" spans="1:7" x14ac:dyDescent="0.25">
      <c r="A252" t="s">
        <v>223</v>
      </c>
      <c r="B252">
        <v>561</v>
      </c>
      <c r="C252">
        <v>118</v>
      </c>
      <c r="D252">
        <v>5</v>
      </c>
      <c r="E252" t="s">
        <v>12</v>
      </c>
      <c r="F252" t="s">
        <v>16</v>
      </c>
      <c r="G252" t="s">
        <v>19</v>
      </c>
    </row>
    <row r="253" spans="1:7" x14ac:dyDescent="0.25">
      <c r="A253" t="s">
        <v>224</v>
      </c>
      <c r="B253">
        <v>503</v>
      </c>
      <c r="C253">
        <v>-56</v>
      </c>
      <c r="D253">
        <v>2</v>
      </c>
      <c r="E253" t="s">
        <v>23</v>
      </c>
      <c r="F253" t="s">
        <v>24</v>
      </c>
      <c r="G253" t="s">
        <v>10</v>
      </c>
    </row>
    <row r="254" spans="1:7" x14ac:dyDescent="0.25">
      <c r="A254" t="s">
        <v>188</v>
      </c>
      <c r="B254">
        <v>31</v>
      </c>
      <c r="C254">
        <v>14</v>
      </c>
      <c r="D254">
        <v>3</v>
      </c>
      <c r="E254" t="s">
        <v>23</v>
      </c>
      <c r="F254" t="s">
        <v>57</v>
      </c>
      <c r="G254" t="s">
        <v>28</v>
      </c>
    </row>
    <row r="255" spans="1:7" x14ac:dyDescent="0.25">
      <c r="A255" t="s">
        <v>225</v>
      </c>
      <c r="B255">
        <v>398</v>
      </c>
      <c r="C255">
        <v>111</v>
      </c>
      <c r="D255">
        <v>8</v>
      </c>
      <c r="E255" t="s">
        <v>23</v>
      </c>
      <c r="F255" t="s">
        <v>30</v>
      </c>
      <c r="G255" t="s">
        <v>10</v>
      </c>
    </row>
    <row r="256" spans="1:7" x14ac:dyDescent="0.25">
      <c r="A256" t="s">
        <v>226</v>
      </c>
      <c r="B256">
        <v>388</v>
      </c>
      <c r="C256">
        <v>93</v>
      </c>
      <c r="D256">
        <v>2</v>
      </c>
      <c r="E256" t="s">
        <v>12</v>
      </c>
      <c r="F256" t="s">
        <v>16</v>
      </c>
      <c r="G256" t="s">
        <v>10</v>
      </c>
    </row>
    <row r="257" spans="1:7" x14ac:dyDescent="0.25">
      <c r="A257" t="s">
        <v>60</v>
      </c>
      <c r="B257">
        <v>498</v>
      </c>
      <c r="C257">
        <v>-116</v>
      </c>
      <c r="D257">
        <v>4</v>
      </c>
      <c r="E257" t="s">
        <v>23</v>
      </c>
      <c r="F257" t="s">
        <v>26</v>
      </c>
      <c r="G257" t="s">
        <v>28</v>
      </c>
    </row>
    <row r="258" spans="1:7" x14ac:dyDescent="0.25">
      <c r="A258" t="s">
        <v>227</v>
      </c>
      <c r="B258">
        <v>561</v>
      </c>
      <c r="C258">
        <v>212</v>
      </c>
      <c r="D258">
        <v>3</v>
      </c>
      <c r="E258" t="s">
        <v>23</v>
      </c>
      <c r="F258" t="s">
        <v>26</v>
      </c>
      <c r="G258" t="s">
        <v>19</v>
      </c>
    </row>
    <row r="259" spans="1:7" x14ac:dyDescent="0.25">
      <c r="A259" t="s">
        <v>228</v>
      </c>
      <c r="B259">
        <v>61</v>
      </c>
      <c r="C259">
        <v>3</v>
      </c>
      <c r="D259">
        <v>4</v>
      </c>
      <c r="E259" t="s">
        <v>23</v>
      </c>
      <c r="F259" t="s">
        <v>30</v>
      </c>
      <c r="G259" t="s">
        <v>10</v>
      </c>
    </row>
    <row r="260" spans="1:7" x14ac:dyDescent="0.25">
      <c r="A260" t="s">
        <v>229</v>
      </c>
      <c r="B260">
        <v>34</v>
      </c>
      <c r="C260">
        <v>-22</v>
      </c>
      <c r="D260">
        <v>4</v>
      </c>
      <c r="E260" t="s">
        <v>23</v>
      </c>
      <c r="F260" t="s">
        <v>81</v>
      </c>
      <c r="G260" t="s">
        <v>10</v>
      </c>
    </row>
    <row r="261" spans="1:7" x14ac:dyDescent="0.25">
      <c r="A261" t="s">
        <v>230</v>
      </c>
      <c r="B261">
        <v>32</v>
      </c>
      <c r="C261">
        <v>6</v>
      </c>
      <c r="D261">
        <v>3</v>
      </c>
      <c r="E261" t="s">
        <v>23</v>
      </c>
      <c r="F261" t="s">
        <v>142</v>
      </c>
      <c r="G261" t="s">
        <v>28</v>
      </c>
    </row>
    <row r="262" spans="1:7" x14ac:dyDescent="0.25">
      <c r="A262" t="s">
        <v>39</v>
      </c>
      <c r="B262">
        <v>623</v>
      </c>
      <c r="C262">
        <v>-192</v>
      </c>
      <c r="D262">
        <v>3</v>
      </c>
      <c r="E262" t="s">
        <v>12</v>
      </c>
      <c r="F262" t="s">
        <v>45</v>
      </c>
      <c r="G262" t="s">
        <v>28</v>
      </c>
    </row>
    <row r="263" spans="1:7" x14ac:dyDescent="0.25">
      <c r="A263" t="s">
        <v>231</v>
      </c>
      <c r="B263">
        <v>520</v>
      </c>
      <c r="C263">
        <v>151</v>
      </c>
      <c r="D263">
        <v>3</v>
      </c>
      <c r="E263" t="s">
        <v>8</v>
      </c>
      <c r="F263" t="s">
        <v>21</v>
      </c>
      <c r="G263" t="s">
        <v>19</v>
      </c>
    </row>
    <row r="264" spans="1:7" x14ac:dyDescent="0.25">
      <c r="A264" t="s">
        <v>112</v>
      </c>
      <c r="B264">
        <v>32</v>
      </c>
      <c r="C264">
        <v>-16</v>
      </c>
      <c r="D264">
        <v>6</v>
      </c>
      <c r="E264" t="s">
        <v>23</v>
      </c>
      <c r="F264" t="s">
        <v>26</v>
      </c>
      <c r="G264" t="s">
        <v>28</v>
      </c>
    </row>
    <row r="265" spans="1:7" x14ac:dyDescent="0.25">
      <c r="A265" t="s">
        <v>33</v>
      </c>
      <c r="B265">
        <v>32</v>
      </c>
      <c r="C265">
        <v>-5</v>
      </c>
      <c r="D265">
        <v>5</v>
      </c>
      <c r="E265" t="s">
        <v>23</v>
      </c>
      <c r="F265" t="s">
        <v>30</v>
      </c>
      <c r="G265" t="s">
        <v>28</v>
      </c>
    </row>
    <row r="266" spans="1:7" x14ac:dyDescent="0.25">
      <c r="A266" t="s">
        <v>232</v>
      </c>
      <c r="B266">
        <v>510</v>
      </c>
      <c r="C266">
        <v>234</v>
      </c>
      <c r="D266">
        <v>6</v>
      </c>
      <c r="E266" t="s">
        <v>8</v>
      </c>
      <c r="F266" t="s">
        <v>9</v>
      </c>
      <c r="G266" t="s">
        <v>14</v>
      </c>
    </row>
    <row r="267" spans="1:7" x14ac:dyDescent="0.25">
      <c r="A267" t="s">
        <v>233</v>
      </c>
      <c r="B267">
        <v>382</v>
      </c>
      <c r="C267">
        <v>68</v>
      </c>
      <c r="D267">
        <v>3</v>
      </c>
      <c r="E267" t="s">
        <v>23</v>
      </c>
      <c r="F267" t="s">
        <v>26</v>
      </c>
      <c r="G267" t="s">
        <v>10</v>
      </c>
    </row>
    <row r="268" spans="1:7" x14ac:dyDescent="0.25">
      <c r="A268" t="s">
        <v>115</v>
      </c>
      <c r="B268">
        <v>33</v>
      </c>
      <c r="C268">
        <v>13</v>
      </c>
      <c r="D268">
        <v>3</v>
      </c>
      <c r="E268" t="s">
        <v>23</v>
      </c>
      <c r="F268" t="s">
        <v>63</v>
      </c>
      <c r="G268" t="s">
        <v>28</v>
      </c>
    </row>
    <row r="269" spans="1:7" x14ac:dyDescent="0.25">
      <c r="A269" t="s">
        <v>53</v>
      </c>
      <c r="B269">
        <v>381</v>
      </c>
      <c r="C269">
        <v>-13</v>
      </c>
      <c r="D269">
        <v>2</v>
      </c>
      <c r="E269" t="s">
        <v>23</v>
      </c>
      <c r="F269" t="s">
        <v>26</v>
      </c>
      <c r="G269" t="s">
        <v>10</v>
      </c>
    </row>
    <row r="270" spans="1:7" x14ac:dyDescent="0.25">
      <c r="A270" t="s">
        <v>88</v>
      </c>
      <c r="B270">
        <v>490</v>
      </c>
      <c r="C270">
        <v>88</v>
      </c>
      <c r="D270">
        <v>2</v>
      </c>
      <c r="E270" t="s">
        <v>8</v>
      </c>
      <c r="F270" t="s">
        <v>73</v>
      </c>
      <c r="G270" t="s">
        <v>14</v>
      </c>
    </row>
    <row r="271" spans="1:7" x14ac:dyDescent="0.25">
      <c r="A271" t="s">
        <v>234</v>
      </c>
      <c r="B271">
        <v>381</v>
      </c>
      <c r="C271">
        <v>144</v>
      </c>
      <c r="D271">
        <v>2</v>
      </c>
      <c r="E271" t="s">
        <v>23</v>
      </c>
      <c r="F271" t="s">
        <v>26</v>
      </c>
      <c r="G271" t="s">
        <v>10</v>
      </c>
    </row>
    <row r="272" spans="1:7" x14ac:dyDescent="0.25">
      <c r="A272" t="s">
        <v>230</v>
      </c>
      <c r="B272">
        <v>487</v>
      </c>
      <c r="C272">
        <v>143</v>
      </c>
      <c r="D272">
        <v>4</v>
      </c>
      <c r="E272" t="s">
        <v>8</v>
      </c>
      <c r="F272" t="s">
        <v>21</v>
      </c>
      <c r="G272" t="s">
        <v>14</v>
      </c>
    </row>
    <row r="273" spans="1:7" x14ac:dyDescent="0.25">
      <c r="A273" t="s">
        <v>209</v>
      </c>
      <c r="B273">
        <v>366</v>
      </c>
      <c r="C273">
        <v>84</v>
      </c>
      <c r="D273">
        <v>3</v>
      </c>
      <c r="E273" t="s">
        <v>12</v>
      </c>
      <c r="F273" t="s">
        <v>16</v>
      </c>
      <c r="G273" t="s">
        <v>10</v>
      </c>
    </row>
    <row r="274" spans="1:7" x14ac:dyDescent="0.25">
      <c r="A274" t="s">
        <v>210</v>
      </c>
      <c r="B274">
        <v>33</v>
      </c>
      <c r="C274">
        <v>-29</v>
      </c>
      <c r="D274">
        <v>3</v>
      </c>
      <c r="E274" t="s">
        <v>23</v>
      </c>
      <c r="F274" t="s">
        <v>142</v>
      </c>
      <c r="G274" t="s">
        <v>28</v>
      </c>
    </row>
    <row r="275" spans="1:7" x14ac:dyDescent="0.25">
      <c r="A275" t="s">
        <v>136</v>
      </c>
      <c r="B275">
        <v>365</v>
      </c>
      <c r="C275">
        <v>107</v>
      </c>
      <c r="D275">
        <v>3</v>
      </c>
      <c r="E275" t="s">
        <v>8</v>
      </c>
      <c r="F275" t="s">
        <v>21</v>
      </c>
      <c r="G275" t="s">
        <v>10</v>
      </c>
    </row>
    <row r="276" spans="1:7" x14ac:dyDescent="0.25">
      <c r="A276" t="s">
        <v>219</v>
      </c>
      <c r="B276">
        <v>207</v>
      </c>
      <c r="C276">
        <v>-100</v>
      </c>
      <c r="D276">
        <v>2</v>
      </c>
      <c r="E276" t="s">
        <v>23</v>
      </c>
      <c r="F276" t="s">
        <v>26</v>
      </c>
      <c r="G276" t="s">
        <v>28</v>
      </c>
    </row>
    <row r="277" spans="1:7" x14ac:dyDescent="0.25">
      <c r="A277" t="s">
        <v>200</v>
      </c>
      <c r="B277">
        <v>359</v>
      </c>
      <c r="C277">
        <v>-338</v>
      </c>
      <c r="D277">
        <v>5</v>
      </c>
      <c r="E277" t="s">
        <v>12</v>
      </c>
      <c r="F277" t="s">
        <v>16</v>
      </c>
      <c r="G277" t="s">
        <v>10</v>
      </c>
    </row>
    <row r="278" spans="1:7" x14ac:dyDescent="0.25">
      <c r="A278" t="s">
        <v>135</v>
      </c>
      <c r="B278">
        <v>351</v>
      </c>
      <c r="C278">
        <v>-47</v>
      </c>
      <c r="D278">
        <v>8</v>
      </c>
      <c r="E278" t="s">
        <v>8</v>
      </c>
      <c r="F278" t="s">
        <v>21</v>
      </c>
      <c r="G278" t="s">
        <v>10</v>
      </c>
    </row>
    <row r="279" spans="1:7" x14ac:dyDescent="0.25">
      <c r="A279" t="s">
        <v>111</v>
      </c>
      <c r="B279">
        <v>485</v>
      </c>
      <c r="C279">
        <v>199</v>
      </c>
      <c r="D279">
        <v>4</v>
      </c>
      <c r="E279" t="s">
        <v>23</v>
      </c>
      <c r="F279" t="s">
        <v>26</v>
      </c>
      <c r="G279" t="s">
        <v>14</v>
      </c>
    </row>
    <row r="280" spans="1:7" x14ac:dyDescent="0.25">
      <c r="A280" t="s">
        <v>29</v>
      </c>
      <c r="B280">
        <v>37</v>
      </c>
      <c r="C280">
        <v>-23</v>
      </c>
      <c r="D280">
        <v>4</v>
      </c>
      <c r="E280" t="s">
        <v>23</v>
      </c>
      <c r="F280" t="s">
        <v>142</v>
      </c>
      <c r="G280" t="s">
        <v>28</v>
      </c>
    </row>
    <row r="281" spans="1:7" x14ac:dyDescent="0.25">
      <c r="A281" t="s">
        <v>116</v>
      </c>
      <c r="B281">
        <v>34</v>
      </c>
      <c r="C281">
        <v>10</v>
      </c>
      <c r="D281">
        <v>2</v>
      </c>
      <c r="E281" t="s">
        <v>23</v>
      </c>
      <c r="F281" t="s">
        <v>81</v>
      </c>
      <c r="G281" t="s">
        <v>82</v>
      </c>
    </row>
    <row r="282" spans="1:7" x14ac:dyDescent="0.25">
      <c r="A282" t="s">
        <v>235</v>
      </c>
      <c r="B282">
        <v>346</v>
      </c>
      <c r="C282">
        <v>108</v>
      </c>
      <c r="D282">
        <v>3</v>
      </c>
      <c r="E282" t="s">
        <v>12</v>
      </c>
      <c r="F282" t="s">
        <v>13</v>
      </c>
      <c r="G282" t="s">
        <v>10</v>
      </c>
    </row>
    <row r="283" spans="1:7" x14ac:dyDescent="0.25">
      <c r="A283" t="s">
        <v>158</v>
      </c>
      <c r="B283">
        <v>342</v>
      </c>
      <c r="C283">
        <v>-103</v>
      </c>
      <c r="D283">
        <v>4</v>
      </c>
      <c r="E283" t="s">
        <v>8</v>
      </c>
      <c r="F283" t="s">
        <v>9</v>
      </c>
      <c r="G283" t="s">
        <v>10</v>
      </c>
    </row>
    <row r="284" spans="1:7" x14ac:dyDescent="0.25">
      <c r="A284" t="s">
        <v>236</v>
      </c>
      <c r="B284">
        <v>35</v>
      </c>
      <c r="C284">
        <v>-8</v>
      </c>
      <c r="D284">
        <v>2</v>
      </c>
      <c r="E284" t="s">
        <v>12</v>
      </c>
      <c r="F284" t="s">
        <v>131</v>
      </c>
      <c r="G284" t="s">
        <v>82</v>
      </c>
    </row>
    <row r="285" spans="1:7" x14ac:dyDescent="0.25">
      <c r="A285" t="s">
        <v>237</v>
      </c>
      <c r="B285">
        <v>121</v>
      </c>
      <c r="C285">
        <v>41</v>
      </c>
      <c r="D285">
        <v>4</v>
      </c>
      <c r="E285" t="s">
        <v>23</v>
      </c>
      <c r="F285" t="s">
        <v>57</v>
      </c>
      <c r="G285" t="s">
        <v>28</v>
      </c>
    </row>
    <row r="286" spans="1:7" x14ac:dyDescent="0.25">
      <c r="A286" t="s">
        <v>134</v>
      </c>
      <c r="B286">
        <v>336</v>
      </c>
      <c r="C286">
        <v>57</v>
      </c>
      <c r="D286">
        <v>2</v>
      </c>
      <c r="E286" t="s">
        <v>8</v>
      </c>
      <c r="F286" t="s">
        <v>21</v>
      </c>
      <c r="G286" t="s">
        <v>10</v>
      </c>
    </row>
    <row r="287" spans="1:7" x14ac:dyDescent="0.25">
      <c r="A287" t="s">
        <v>31</v>
      </c>
      <c r="B287">
        <v>336</v>
      </c>
      <c r="C287">
        <v>71</v>
      </c>
      <c r="D287">
        <v>3</v>
      </c>
      <c r="E287" t="s">
        <v>12</v>
      </c>
      <c r="F287" t="s">
        <v>16</v>
      </c>
      <c r="G287" t="s">
        <v>10</v>
      </c>
    </row>
    <row r="288" spans="1:7" x14ac:dyDescent="0.25">
      <c r="A288" t="s">
        <v>238</v>
      </c>
      <c r="B288">
        <v>27</v>
      </c>
      <c r="C288">
        <v>4</v>
      </c>
      <c r="D288">
        <v>1</v>
      </c>
      <c r="E288" t="s">
        <v>23</v>
      </c>
      <c r="F288" t="s">
        <v>30</v>
      </c>
      <c r="G288" t="s">
        <v>10</v>
      </c>
    </row>
    <row r="289" spans="1:7" x14ac:dyDescent="0.25">
      <c r="A289" t="s">
        <v>173</v>
      </c>
      <c r="B289">
        <v>333</v>
      </c>
      <c r="C289">
        <v>50</v>
      </c>
      <c r="D289">
        <v>2</v>
      </c>
      <c r="E289" t="s">
        <v>8</v>
      </c>
      <c r="F289" t="s">
        <v>21</v>
      </c>
      <c r="G289" t="s">
        <v>10</v>
      </c>
    </row>
    <row r="290" spans="1:7" x14ac:dyDescent="0.25">
      <c r="A290" t="s">
        <v>22</v>
      </c>
      <c r="B290">
        <v>36</v>
      </c>
      <c r="C290">
        <v>7</v>
      </c>
      <c r="D290">
        <v>3</v>
      </c>
      <c r="E290" t="s">
        <v>23</v>
      </c>
      <c r="F290" t="s">
        <v>63</v>
      </c>
      <c r="G290" t="s">
        <v>82</v>
      </c>
    </row>
    <row r="291" spans="1:7" x14ac:dyDescent="0.25">
      <c r="A291" t="s">
        <v>239</v>
      </c>
      <c r="B291">
        <v>333</v>
      </c>
      <c r="C291">
        <v>-15</v>
      </c>
      <c r="D291">
        <v>3</v>
      </c>
      <c r="E291" t="s">
        <v>8</v>
      </c>
      <c r="F291" t="s">
        <v>21</v>
      </c>
      <c r="G291" t="s">
        <v>10</v>
      </c>
    </row>
    <row r="292" spans="1:7" x14ac:dyDescent="0.25">
      <c r="A292" t="s">
        <v>240</v>
      </c>
      <c r="B292">
        <v>327</v>
      </c>
      <c r="C292">
        <v>114</v>
      </c>
      <c r="D292">
        <v>4</v>
      </c>
      <c r="E292" t="s">
        <v>23</v>
      </c>
      <c r="F292" t="s">
        <v>24</v>
      </c>
      <c r="G292" t="s">
        <v>10</v>
      </c>
    </row>
    <row r="293" spans="1:7" x14ac:dyDescent="0.25">
      <c r="A293" t="s">
        <v>241</v>
      </c>
      <c r="B293">
        <v>18</v>
      </c>
      <c r="C293">
        <v>6</v>
      </c>
      <c r="D293">
        <v>3</v>
      </c>
      <c r="E293" t="s">
        <v>23</v>
      </c>
      <c r="F293" t="s">
        <v>30</v>
      </c>
      <c r="G293" t="s">
        <v>28</v>
      </c>
    </row>
    <row r="294" spans="1:7" x14ac:dyDescent="0.25">
      <c r="A294" t="s">
        <v>230</v>
      </c>
      <c r="B294">
        <v>325</v>
      </c>
      <c r="C294">
        <v>32</v>
      </c>
      <c r="D294">
        <v>7</v>
      </c>
      <c r="E294" t="s">
        <v>23</v>
      </c>
      <c r="F294" t="s">
        <v>81</v>
      </c>
      <c r="G294" t="s">
        <v>10</v>
      </c>
    </row>
    <row r="295" spans="1:7" x14ac:dyDescent="0.25">
      <c r="A295" t="s">
        <v>242</v>
      </c>
      <c r="B295">
        <v>482</v>
      </c>
      <c r="C295">
        <v>-6</v>
      </c>
      <c r="D295">
        <v>7</v>
      </c>
      <c r="E295" t="s">
        <v>8</v>
      </c>
      <c r="F295" t="s">
        <v>9</v>
      </c>
      <c r="G295" t="s">
        <v>14</v>
      </c>
    </row>
    <row r="296" spans="1:7" x14ac:dyDescent="0.25">
      <c r="A296" t="s">
        <v>36</v>
      </c>
      <c r="B296">
        <v>465</v>
      </c>
      <c r="C296">
        <v>-33</v>
      </c>
      <c r="D296">
        <v>4</v>
      </c>
      <c r="E296" t="s">
        <v>8</v>
      </c>
      <c r="F296" t="s">
        <v>21</v>
      </c>
      <c r="G296" t="s">
        <v>14</v>
      </c>
    </row>
    <row r="297" spans="1:7" x14ac:dyDescent="0.25">
      <c r="A297" t="s">
        <v>144</v>
      </c>
      <c r="B297">
        <v>40</v>
      </c>
      <c r="C297">
        <v>-12</v>
      </c>
      <c r="D297">
        <v>3</v>
      </c>
      <c r="E297" t="s">
        <v>23</v>
      </c>
      <c r="F297" t="s">
        <v>142</v>
      </c>
      <c r="G297" t="s">
        <v>10</v>
      </c>
    </row>
    <row r="298" spans="1:7" x14ac:dyDescent="0.25">
      <c r="A298" t="s">
        <v>149</v>
      </c>
      <c r="B298">
        <v>107</v>
      </c>
      <c r="C298">
        <v>36</v>
      </c>
      <c r="D298">
        <v>6</v>
      </c>
      <c r="E298" t="s">
        <v>23</v>
      </c>
      <c r="F298" t="s">
        <v>57</v>
      </c>
      <c r="G298" t="s">
        <v>10</v>
      </c>
    </row>
    <row r="299" spans="1:7" x14ac:dyDescent="0.25">
      <c r="A299" t="s">
        <v>38</v>
      </c>
      <c r="B299">
        <v>312</v>
      </c>
      <c r="C299">
        <v>-312</v>
      </c>
      <c r="D299">
        <v>7</v>
      </c>
      <c r="E299" t="s">
        <v>12</v>
      </c>
      <c r="F299" t="s">
        <v>13</v>
      </c>
      <c r="G299" t="s">
        <v>10</v>
      </c>
    </row>
    <row r="300" spans="1:7" x14ac:dyDescent="0.25">
      <c r="A300" t="s">
        <v>243</v>
      </c>
      <c r="B300">
        <v>451</v>
      </c>
      <c r="C300">
        <v>25</v>
      </c>
      <c r="D300">
        <v>3</v>
      </c>
      <c r="E300" t="s">
        <v>8</v>
      </c>
      <c r="F300" t="s">
        <v>21</v>
      </c>
      <c r="G300" t="s">
        <v>14</v>
      </c>
    </row>
    <row r="301" spans="1:7" x14ac:dyDescent="0.25">
      <c r="A301" t="s">
        <v>177</v>
      </c>
      <c r="B301">
        <v>312</v>
      </c>
      <c r="C301">
        <v>62</v>
      </c>
      <c r="D301">
        <v>1</v>
      </c>
      <c r="E301" t="s">
        <v>8</v>
      </c>
      <c r="F301" t="s">
        <v>9</v>
      </c>
      <c r="G301" t="s">
        <v>10</v>
      </c>
    </row>
    <row r="302" spans="1:7" x14ac:dyDescent="0.25">
      <c r="A302" t="s">
        <v>244</v>
      </c>
      <c r="B302">
        <v>311</v>
      </c>
      <c r="C302">
        <v>72</v>
      </c>
      <c r="D302">
        <v>2</v>
      </c>
      <c r="E302" t="s">
        <v>12</v>
      </c>
      <c r="F302" t="s">
        <v>16</v>
      </c>
      <c r="G302" t="s">
        <v>10</v>
      </c>
    </row>
    <row r="303" spans="1:7" x14ac:dyDescent="0.25">
      <c r="A303" t="s">
        <v>245</v>
      </c>
      <c r="B303">
        <v>11</v>
      </c>
      <c r="C303">
        <v>5</v>
      </c>
      <c r="D303">
        <v>2</v>
      </c>
      <c r="E303" t="s">
        <v>23</v>
      </c>
      <c r="F303" t="s">
        <v>30</v>
      </c>
      <c r="G303" t="s">
        <v>28</v>
      </c>
    </row>
    <row r="304" spans="1:7" x14ac:dyDescent="0.25">
      <c r="A304" t="s">
        <v>221</v>
      </c>
      <c r="B304">
        <v>37</v>
      </c>
      <c r="C304">
        <v>-5</v>
      </c>
      <c r="D304">
        <v>3</v>
      </c>
      <c r="E304" t="s">
        <v>23</v>
      </c>
      <c r="F304" t="s">
        <v>81</v>
      </c>
      <c r="G304" t="s">
        <v>82</v>
      </c>
    </row>
    <row r="305" spans="1:7" x14ac:dyDescent="0.25">
      <c r="A305" t="s">
        <v>246</v>
      </c>
      <c r="B305">
        <v>444</v>
      </c>
      <c r="C305">
        <v>-200</v>
      </c>
      <c r="D305">
        <v>4</v>
      </c>
      <c r="E305" t="s">
        <v>8</v>
      </c>
      <c r="F305" t="s">
        <v>21</v>
      </c>
      <c r="G305" t="s">
        <v>14</v>
      </c>
    </row>
    <row r="306" spans="1:7" x14ac:dyDescent="0.25">
      <c r="A306" t="s">
        <v>247</v>
      </c>
      <c r="B306">
        <v>434</v>
      </c>
      <c r="C306">
        <v>26</v>
      </c>
      <c r="D306">
        <v>11</v>
      </c>
      <c r="E306" t="s">
        <v>23</v>
      </c>
      <c r="F306" t="s">
        <v>142</v>
      </c>
      <c r="G306" t="s">
        <v>19</v>
      </c>
    </row>
    <row r="307" spans="1:7" x14ac:dyDescent="0.25">
      <c r="A307" t="s">
        <v>248</v>
      </c>
      <c r="B307">
        <v>299</v>
      </c>
      <c r="C307">
        <v>0</v>
      </c>
      <c r="D307">
        <v>6</v>
      </c>
      <c r="E307" t="s">
        <v>23</v>
      </c>
      <c r="F307" t="s">
        <v>57</v>
      </c>
      <c r="G307" t="s">
        <v>10</v>
      </c>
    </row>
    <row r="308" spans="1:7" x14ac:dyDescent="0.25">
      <c r="A308" t="s">
        <v>134</v>
      </c>
      <c r="B308">
        <v>37</v>
      </c>
      <c r="C308">
        <v>17</v>
      </c>
      <c r="D308">
        <v>3</v>
      </c>
      <c r="E308" t="s">
        <v>23</v>
      </c>
      <c r="F308" t="s">
        <v>30</v>
      </c>
      <c r="G308" t="s">
        <v>82</v>
      </c>
    </row>
    <row r="309" spans="1:7" x14ac:dyDescent="0.25">
      <c r="A309" t="s">
        <v>249</v>
      </c>
      <c r="B309">
        <v>299</v>
      </c>
      <c r="C309">
        <v>113</v>
      </c>
      <c r="D309">
        <v>2</v>
      </c>
      <c r="E309" t="s">
        <v>12</v>
      </c>
      <c r="F309" t="s">
        <v>16</v>
      </c>
      <c r="G309" t="s">
        <v>10</v>
      </c>
    </row>
    <row r="310" spans="1:7" x14ac:dyDescent="0.25">
      <c r="A310" t="s">
        <v>250</v>
      </c>
      <c r="B310">
        <v>298</v>
      </c>
      <c r="C310">
        <v>74</v>
      </c>
      <c r="D310">
        <v>2</v>
      </c>
      <c r="E310" t="s">
        <v>12</v>
      </c>
      <c r="F310" t="s">
        <v>16</v>
      </c>
      <c r="G310" t="s">
        <v>10</v>
      </c>
    </row>
    <row r="311" spans="1:7" x14ac:dyDescent="0.25">
      <c r="A311" t="s">
        <v>251</v>
      </c>
      <c r="B311">
        <v>94</v>
      </c>
      <c r="C311">
        <v>7</v>
      </c>
      <c r="D311">
        <v>7</v>
      </c>
      <c r="E311" t="s">
        <v>23</v>
      </c>
      <c r="F311" t="s">
        <v>63</v>
      </c>
      <c r="G311" t="s">
        <v>28</v>
      </c>
    </row>
    <row r="312" spans="1:7" x14ac:dyDescent="0.25">
      <c r="A312" t="s">
        <v>252</v>
      </c>
      <c r="B312">
        <v>296</v>
      </c>
      <c r="C312">
        <v>225</v>
      </c>
      <c r="D312">
        <v>11</v>
      </c>
      <c r="E312" t="s">
        <v>23</v>
      </c>
      <c r="F312" t="s">
        <v>26</v>
      </c>
      <c r="G312" t="s">
        <v>10</v>
      </c>
    </row>
    <row r="313" spans="1:7" x14ac:dyDescent="0.25">
      <c r="A313" t="s">
        <v>253</v>
      </c>
      <c r="B313">
        <v>37</v>
      </c>
      <c r="C313">
        <v>17</v>
      </c>
      <c r="D313">
        <v>3</v>
      </c>
      <c r="E313" t="s">
        <v>23</v>
      </c>
      <c r="F313" t="s">
        <v>30</v>
      </c>
      <c r="G313" t="s">
        <v>82</v>
      </c>
    </row>
    <row r="314" spans="1:7" x14ac:dyDescent="0.25">
      <c r="A314" t="s">
        <v>254</v>
      </c>
      <c r="B314">
        <v>291</v>
      </c>
      <c r="C314">
        <v>93</v>
      </c>
      <c r="D314">
        <v>2</v>
      </c>
      <c r="E314" t="s">
        <v>8</v>
      </c>
      <c r="F314" t="s">
        <v>18</v>
      </c>
      <c r="G314" t="s">
        <v>10</v>
      </c>
    </row>
    <row r="315" spans="1:7" x14ac:dyDescent="0.25">
      <c r="A315" t="s">
        <v>215</v>
      </c>
      <c r="B315">
        <v>327</v>
      </c>
      <c r="C315">
        <v>-39</v>
      </c>
      <c r="D315">
        <v>1</v>
      </c>
      <c r="E315" t="s">
        <v>8</v>
      </c>
      <c r="F315" t="s">
        <v>21</v>
      </c>
      <c r="G315" t="s">
        <v>10</v>
      </c>
    </row>
    <row r="316" spans="1:7" x14ac:dyDescent="0.25">
      <c r="A316" t="s">
        <v>231</v>
      </c>
      <c r="B316">
        <v>291</v>
      </c>
      <c r="C316">
        <v>119</v>
      </c>
      <c r="D316">
        <v>11</v>
      </c>
      <c r="E316" t="s">
        <v>23</v>
      </c>
      <c r="F316" t="s">
        <v>26</v>
      </c>
      <c r="G316" t="s">
        <v>10</v>
      </c>
    </row>
    <row r="317" spans="1:7" x14ac:dyDescent="0.25">
      <c r="A317" t="s">
        <v>191</v>
      </c>
      <c r="B317">
        <v>287</v>
      </c>
      <c r="C317">
        <v>-66</v>
      </c>
      <c r="D317">
        <v>6</v>
      </c>
      <c r="E317" t="s">
        <v>23</v>
      </c>
      <c r="F317" t="s">
        <v>32</v>
      </c>
      <c r="G317" t="s">
        <v>10</v>
      </c>
    </row>
    <row r="318" spans="1:7" x14ac:dyDescent="0.25">
      <c r="A318" t="s">
        <v>255</v>
      </c>
      <c r="B318">
        <v>42</v>
      </c>
      <c r="C318">
        <v>15</v>
      </c>
      <c r="D318">
        <v>1</v>
      </c>
      <c r="E318" t="s">
        <v>8</v>
      </c>
      <c r="F318" t="s">
        <v>73</v>
      </c>
      <c r="G318" t="s">
        <v>28</v>
      </c>
    </row>
    <row r="319" spans="1:7" x14ac:dyDescent="0.25">
      <c r="A319" t="s">
        <v>212</v>
      </c>
      <c r="B319">
        <v>429</v>
      </c>
      <c r="C319">
        <v>61</v>
      </c>
      <c r="D319">
        <v>3</v>
      </c>
      <c r="E319" t="s">
        <v>8</v>
      </c>
      <c r="F319" t="s">
        <v>9</v>
      </c>
      <c r="G319" t="s">
        <v>19</v>
      </c>
    </row>
    <row r="320" spans="1:7" x14ac:dyDescent="0.25">
      <c r="A320" t="s">
        <v>256</v>
      </c>
      <c r="B320">
        <v>285</v>
      </c>
      <c r="C320">
        <v>128</v>
      </c>
      <c r="D320">
        <v>2</v>
      </c>
      <c r="E320" t="s">
        <v>8</v>
      </c>
      <c r="F320" t="s">
        <v>18</v>
      </c>
      <c r="G320" t="s">
        <v>10</v>
      </c>
    </row>
    <row r="321" spans="1:7" x14ac:dyDescent="0.25">
      <c r="A321" t="s">
        <v>257</v>
      </c>
      <c r="B321">
        <v>277</v>
      </c>
      <c r="C321">
        <v>3</v>
      </c>
      <c r="D321">
        <v>1</v>
      </c>
      <c r="E321" t="s">
        <v>8</v>
      </c>
      <c r="F321" t="s">
        <v>9</v>
      </c>
      <c r="G321" t="s">
        <v>10</v>
      </c>
    </row>
    <row r="322" spans="1:7" x14ac:dyDescent="0.25">
      <c r="A322" t="s">
        <v>48</v>
      </c>
      <c r="B322">
        <v>274</v>
      </c>
      <c r="C322">
        <v>-7</v>
      </c>
      <c r="D322">
        <v>4</v>
      </c>
      <c r="E322" t="s">
        <v>8</v>
      </c>
      <c r="F322" t="s">
        <v>21</v>
      </c>
      <c r="G322" t="s">
        <v>10</v>
      </c>
    </row>
    <row r="323" spans="1:7" x14ac:dyDescent="0.25">
      <c r="A323" t="s">
        <v>258</v>
      </c>
      <c r="B323">
        <v>273</v>
      </c>
      <c r="C323">
        <v>-87</v>
      </c>
      <c r="D323">
        <v>4</v>
      </c>
      <c r="E323" t="s">
        <v>8</v>
      </c>
      <c r="F323" t="s">
        <v>21</v>
      </c>
      <c r="G323" t="s">
        <v>10</v>
      </c>
    </row>
    <row r="324" spans="1:7" x14ac:dyDescent="0.25">
      <c r="A324" t="s">
        <v>172</v>
      </c>
      <c r="B324">
        <v>269</v>
      </c>
      <c r="C324">
        <v>91</v>
      </c>
      <c r="D324">
        <v>1</v>
      </c>
      <c r="E324" t="s">
        <v>8</v>
      </c>
      <c r="F324" t="s">
        <v>9</v>
      </c>
      <c r="G324" t="s">
        <v>10</v>
      </c>
    </row>
    <row r="325" spans="1:7" x14ac:dyDescent="0.25">
      <c r="A325" t="s">
        <v>254</v>
      </c>
      <c r="B325">
        <v>11</v>
      </c>
      <c r="C325">
        <v>5</v>
      </c>
      <c r="D325">
        <v>1</v>
      </c>
      <c r="E325" t="s">
        <v>23</v>
      </c>
      <c r="F325" t="s">
        <v>43</v>
      </c>
      <c r="G325" t="s">
        <v>10</v>
      </c>
    </row>
    <row r="326" spans="1:7" x14ac:dyDescent="0.25">
      <c r="A326" t="s">
        <v>15</v>
      </c>
      <c r="B326">
        <v>39</v>
      </c>
      <c r="C326">
        <v>2</v>
      </c>
      <c r="D326">
        <v>2</v>
      </c>
      <c r="E326" t="s">
        <v>23</v>
      </c>
      <c r="F326" t="s">
        <v>26</v>
      </c>
      <c r="G326" t="s">
        <v>82</v>
      </c>
    </row>
    <row r="327" spans="1:7" x14ac:dyDescent="0.25">
      <c r="A327" t="s">
        <v>243</v>
      </c>
      <c r="B327">
        <v>264</v>
      </c>
      <c r="C327">
        <v>-26</v>
      </c>
      <c r="D327">
        <v>3</v>
      </c>
      <c r="E327" t="s">
        <v>23</v>
      </c>
      <c r="F327" t="s">
        <v>24</v>
      </c>
      <c r="G327" t="s">
        <v>10</v>
      </c>
    </row>
    <row r="328" spans="1:7" x14ac:dyDescent="0.25">
      <c r="A328" t="s">
        <v>259</v>
      </c>
      <c r="B328">
        <v>40</v>
      </c>
      <c r="C328">
        <v>16</v>
      </c>
      <c r="D328">
        <v>3</v>
      </c>
      <c r="E328" t="s">
        <v>23</v>
      </c>
      <c r="F328" t="s">
        <v>30</v>
      </c>
      <c r="G328" t="s">
        <v>82</v>
      </c>
    </row>
    <row r="329" spans="1:7" x14ac:dyDescent="0.25">
      <c r="A329" t="s">
        <v>260</v>
      </c>
      <c r="B329">
        <v>41</v>
      </c>
      <c r="C329">
        <v>19</v>
      </c>
      <c r="D329">
        <v>2</v>
      </c>
      <c r="E329" t="s">
        <v>23</v>
      </c>
      <c r="F329" t="s">
        <v>81</v>
      </c>
      <c r="G329" t="s">
        <v>82</v>
      </c>
    </row>
    <row r="330" spans="1:7" x14ac:dyDescent="0.25">
      <c r="A330" t="s">
        <v>222</v>
      </c>
      <c r="B330">
        <v>253</v>
      </c>
      <c r="C330">
        <v>-63</v>
      </c>
      <c r="D330">
        <v>2</v>
      </c>
      <c r="E330" t="s">
        <v>23</v>
      </c>
      <c r="F330" t="s">
        <v>26</v>
      </c>
      <c r="G330" t="s">
        <v>28</v>
      </c>
    </row>
    <row r="331" spans="1:7" x14ac:dyDescent="0.25">
      <c r="A331" t="s">
        <v>261</v>
      </c>
      <c r="B331">
        <v>406</v>
      </c>
      <c r="C331">
        <v>97</v>
      </c>
      <c r="D331">
        <v>7</v>
      </c>
      <c r="E331" t="s">
        <v>12</v>
      </c>
      <c r="F331" t="s">
        <v>13</v>
      </c>
      <c r="G331" t="s">
        <v>19</v>
      </c>
    </row>
    <row r="332" spans="1:7" x14ac:dyDescent="0.25">
      <c r="A332" t="s">
        <v>262</v>
      </c>
      <c r="B332">
        <v>32</v>
      </c>
      <c r="C332">
        <v>7</v>
      </c>
      <c r="D332">
        <v>3</v>
      </c>
      <c r="E332" t="s">
        <v>23</v>
      </c>
      <c r="F332" t="s">
        <v>30</v>
      </c>
      <c r="G332" t="s">
        <v>10</v>
      </c>
    </row>
    <row r="333" spans="1:7" x14ac:dyDescent="0.25">
      <c r="A333" t="s">
        <v>177</v>
      </c>
      <c r="B333">
        <v>260</v>
      </c>
      <c r="C333">
        <v>68</v>
      </c>
      <c r="D333">
        <v>2</v>
      </c>
      <c r="E333" t="s">
        <v>8</v>
      </c>
      <c r="F333" t="s">
        <v>18</v>
      </c>
      <c r="G333" t="s">
        <v>10</v>
      </c>
    </row>
    <row r="334" spans="1:7" x14ac:dyDescent="0.25">
      <c r="A334" t="s">
        <v>263</v>
      </c>
      <c r="B334">
        <v>41</v>
      </c>
      <c r="C334">
        <v>19</v>
      </c>
      <c r="D334">
        <v>5</v>
      </c>
      <c r="E334" t="s">
        <v>23</v>
      </c>
      <c r="F334" t="s">
        <v>30</v>
      </c>
      <c r="G334" t="s">
        <v>82</v>
      </c>
    </row>
    <row r="335" spans="1:7" x14ac:dyDescent="0.25">
      <c r="A335" t="s">
        <v>55</v>
      </c>
      <c r="B335">
        <v>401</v>
      </c>
      <c r="C335">
        <v>13</v>
      </c>
      <c r="D335">
        <v>6</v>
      </c>
      <c r="E335" t="s">
        <v>12</v>
      </c>
      <c r="F335" t="s">
        <v>13</v>
      </c>
      <c r="G335" t="s">
        <v>19</v>
      </c>
    </row>
    <row r="336" spans="1:7" x14ac:dyDescent="0.25">
      <c r="A336" t="s">
        <v>259</v>
      </c>
      <c r="B336">
        <v>382</v>
      </c>
      <c r="C336">
        <v>30</v>
      </c>
      <c r="D336">
        <v>3</v>
      </c>
      <c r="E336" t="s">
        <v>23</v>
      </c>
      <c r="F336" t="s">
        <v>26</v>
      </c>
      <c r="G336" t="s">
        <v>19</v>
      </c>
    </row>
    <row r="337" spans="1:7" x14ac:dyDescent="0.25">
      <c r="A337" t="s">
        <v>264</v>
      </c>
      <c r="B337">
        <v>867</v>
      </c>
      <c r="C337">
        <v>251</v>
      </c>
      <c r="D337">
        <v>5</v>
      </c>
      <c r="E337" t="s">
        <v>8</v>
      </c>
      <c r="F337" t="s">
        <v>21</v>
      </c>
      <c r="G337" t="s">
        <v>10</v>
      </c>
    </row>
    <row r="338" spans="1:7" x14ac:dyDescent="0.25">
      <c r="A338" t="s">
        <v>265</v>
      </c>
      <c r="B338">
        <v>43</v>
      </c>
      <c r="C338">
        <v>0</v>
      </c>
      <c r="D338">
        <v>3</v>
      </c>
      <c r="E338" t="s">
        <v>23</v>
      </c>
      <c r="F338" t="s">
        <v>26</v>
      </c>
      <c r="G338" t="s">
        <v>82</v>
      </c>
    </row>
    <row r="339" spans="1:7" x14ac:dyDescent="0.25">
      <c r="A339" t="s">
        <v>266</v>
      </c>
      <c r="B339">
        <v>43</v>
      </c>
      <c r="C339">
        <v>-43</v>
      </c>
      <c r="D339">
        <v>7</v>
      </c>
      <c r="E339" t="s">
        <v>23</v>
      </c>
      <c r="F339" t="s">
        <v>57</v>
      </c>
      <c r="G339" t="s">
        <v>82</v>
      </c>
    </row>
    <row r="340" spans="1:7" x14ac:dyDescent="0.25">
      <c r="A340" t="s">
        <v>217</v>
      </c>
      <c r="B340">
        <v>74</v>
      </c>
      <c r="C340">
        <v>29</v>
      </c>
      <c r="D340">
        <v>3</v>
      </c>
      <c r="E340" t="s">
        <v>23</v>
      </c>
      <c r="F340" t="s">
        <v>57</v>
      </c>
      <c r="G340" t="s">
        <v>10</v>
      </c>
    </row>
    <row r="341" spans="1:7" x14ac:dyDescent="0.25">
      <c r="A341" t="s">
        <v>38</v>
      </c>
      <c r="B341">
        <v>44</v>
      </c>
      <c r="C341">
        <v>-26</v>
      </c>
      <c r="D341">
        <v>3</v>
      </c>
      <c r="E341" t="s">
        <v>23</v>
      </c>
      <c r="F341" t="s">
        <v>30</v>
      </c>
      <c r="G341" t="s">
        <v>82</v>
      </c>
    </row>
    <row r="342" spans="1:7" x14ac:dyDescent="0.25">
      <c r="A342" t="s">
        <v>267</v>
      </c>
      <c r="B342">
        <v>259</v>
      </c>
      <c r="C342">
        <v>-55</v>
      </c>
      <c r="D342">
        <v>2</v>
      </c>
      <c r="E342" t="s">
        <v>12</v>
      </c>
      <c r="F342" t="s">
        <v>13</v>
      </c>
      <c r="G342" t="s">
        <v>10</v>
      </c>
    </row>
    <row r="343" spans="1:7" x14ac:dyDescent="0.25">
      <c r="A343" t="s">
        <v>87</v>
      </c>
      <c r="B343">
        <v>257</v>
      </c>
      <c r="C343">
        <v>23</v>
      </c>
      <c r="D343">
        <v>5</v>
      </c>
      <c r="E343" t="s">
        <v>23</v>
      </c>
      <c r="F343" t="s">
        <v>30</v>
      </c>
      <c r="G343" t="s">
        <v>10</v>
      </c>
    </row>
    <row r="344" spans="1:7" x14ac:dyDescent="0.25">
      <c r="A344" t="s">
        <v>127</v>
      </c>
      <c r="B344">
        <v>76</v>
      </c>
      <c r="C344">
        <v>27</v>
      </c>
      <c r="D344">
        <v>5</v>
      </c>
      <c r="E344" t="s">
        <v>23</v>
      </c>
      <c r="F344" t="s">
        <v>57</v>
      </c>
      <c r="G344" t="s">
        <v>10</v>
      </c>
    </row>
    <row r="345" spans="1:7" x14ac:dyDescent="0.25">
      <c r="A345" t="s">
        <v>268</v>
      </c>
      <c r="B345">
        <v>44</v>
      </c>
      <c r="C345">
        <v>-32</v>
      </c>
      <c r="D345">
        <v>3</v>
      </c>
      <c r="E345" t="s">
        <v>23</v>
      </c>
      <c r="F345" t="s">
        <v>57</v>
      </c>
      <c r="G345" t="s">
        <v>82</v>
      </c>
    </row>
    <row r="346" spans="1:7" x14ac:dyDescent="0.25">
      <c r="A346" t="s">
        <v>269</v>
      </c>
      <c r="B346">
        <v>257</v>
      </c>
      <c r="C346">
        <v>3</v>
      </c>
      <c r="D346">
        <v>2</v>
      </c>
      <c r="E346" t="s">
        <v>23</v>
      </c>
      <c r="F346" t="s">
        <v>26</v>
      </c>
      <c r="G346" t="s">
        <v>10</v>
      </c>
    </row>
    <row r="347" spans="1:7" x14ac:dyDescent="0.25">
      <c r="A347" t="s">
        <v>270</v>
      </c>
      <c r="B347">
        <v>255</v>
      </c>
      <c r="C347">
        <v>76</v>
      </c>
      <c r="D347">
        <v>9</v>
      </c>
      <c r="E347" t="s">
        <v>23</v>
      </c>
      <c r="F347" t="s">
        <v>30</v>
      </c>
      <c r="G347" t="s">
        <v>10</v>
      </c>
    </row>
    <row r="348" spans="1:7" x14ac:dyDescent="0.25">
      <c r="A348" t="s">
        <v>271</v>
      </c>
      <c r="B348">
        <v>44</v>
      </c>
      <c r="C348">
        <v>14</v>
      </c>
      <c r="D348">
        <v>3</v>
      </c>
      <c r="E348" t="s">
        <v>23</v>
      </c>
      <c r="F348" t="s">
        <v>30</v>
      </c>
      <c r="G348" t="s">
        <v>82</v>
      </c>
    </row>
    <row r="349" spans="1:7" x14ac:dyDescent="0.25">
      <c r="A349" t="s">
        <v>221</v>
      </c>
      <c r="B349">
        <v>45</v>
      </c>
      <c r="C349">
        <v>-2</v>
      </c>
      <c r="D349">
        <v>4</v>
      </c>
      <c r="E349" t="s">
        <v>23</v>
      </c>
      <c r="F349" t="s">
        <v>142</v>
      </c>
      <c r="G349" t="s">
        <v>10</v>
      </c>
    </row>
    <row r="350" spans="1:7" x14ac:dyDescent="0.25">
      <c r="A350" t="s">
        <v>7</v>
      </c>
      <c r="B350">
        <v>44</v>
      </c>
      <c r="C350">
        <v>-3</v>
      </c>
      <c r="D350">
        <v>1</v>
      </c>
      <c r="E350" t="s">
        <v>23</v>
      </c>
      <c r="F350" t="s">
        <v>26</v>
      </c>
      <c r="G350" t="s">
        <v>82</v>
      </c>
    </row>
    <row r="351" spans="1:7" x14ac:dyDescent="0.25">
      <c r="A351" t="s">
        <v>88</v>
      </c>
      <c r="B351">
        <v>382</v>
      </c>
      <c r="C351">
        <v>119</v>
      </c>
      <c r="D351">
        <v>2</v>
      </c>
      <c r="E351" t="s">
        <v>23</v>
      </c>
      <c r="F351" t="s">
        <v>26</v>
      </c>
      <c r="G351" t="s">
        <v>19</v>
      </c>
    </row>
    <row r="352" spans="1:7" x14ac:dyDescent="0.25">
      <c r="A352" t="s">
        <v>179</v>
      </c>
      <c r="B352">
        <v>250</v>
      </c>
      <c r="C352">
        <v>100</v>
      </c>
      <c r="D352">
        <v>3</v>
      </c>
      <c r="E352" t="s">
        <v>23</v>
      </c>
      <c r="F352" t="s">
        <v>24</v>
      </c>
      <c r="G352" t="s">
        <v>10</v>
      </c>
    </row>
    <row r="353" spans="1:7" x14ac:dyDescent="0.25">
      <c r="A353" t="s">
        <v>272</v>
      </c>
      <c r="B353">
        <v>45</v>
      </c>
      <c r="C353">
        <v>-15</v>
      </c>
      <c r="D353">
        <v>2</v>
      </c>
      <c r="E353" t="s">
        <v>12</v>
      </c>
      <c r="F353" t="s">
        <v>13</v>
      </c>
      <c r="G353" t="s">
        <v>10</v>
      </c>
    </row>
    <row r="354" spans="1:7" x14ac:dyDescent="0.25">
      <c r="A354" t="s">
        <v>167</v>
      </c>
      <c r="B354">
        <v>246</v>
      </c>
      <c r="C354">
        <v>61</v>
      </c>
      <c r="D354">
        <v>2</v>
      </c>
      <c r="E354" t="s">
        <v>12</v>
      </c>
      <c r="F354" t="s">
        <v>16</v>
      </c>
      <c r="G354" t="s">
        <v>10</v>
      </c>
    </row>
    <row r="355" spans="1:7" x14ac:dyDescent="0.25">
      <c r="A355" t="s">
        <v>254</v>
      </c>
      <c r="B355">
        <v>50</v>
      </c>
      <c r="C355">
        <v>25</v>
      </c>
      <c r="D355">
        <v>5</v>
      </c>
      <c r="E355" t="s">
        <v>23</v>
      </c>
      <c r="F355" t="s">
        <v>57</v>
      </c>
      <c r="G355" t="s">
        <v>10</v>
      </c>
    </row>
    <row r="356" spans="1:7" x14ac:dyDescent="0.25">
      <c r="A356" t="s">
        <v>273</v>
      </c>
      <c r="B356">
        <v>246</v>
      </c>
      <c r="C356">
        <v>98</v>
      </c>
      <c r="D356">
        <v>5</v>
      </c>
      <c r="E356" t="s">
        <v>23</v>
      </c>
      <c r="F356" t="s">
        <v>30</v>
      </c>
      <c r="G356" t="s">
        <v>10</v>
      </c>
    </row>
    <row r="357" spans="1:7" x14ac:dyDescent="0.25">
      <c r="A357" t="s">
        <v>25</v>
      </c>
      <c r="B357">
        <v>44</v>
      </c>
      <c r="C357">
        <v>99</v>
      </c>
      <c r="D357">
        <v>3</v>
      </c>
      <c r="E357" t="s">
        <v>23</v>
      </c>
      <c r="F357" t="s">
        <v>32</v>
      </c>
      <c r="G357" t="s">
        <v>82</v>
      </c>
    </row>
    <row r="358" spans="1:7" x14ac:dyDescent="0.25">
      <c r="A358" t="s">
        <v>274</v>
      </c>
      <c r="B358">
        <v>245</v>
      </c>
      <c r="C358">
        <v>-78</v>
      </c>
      <c r="D358">
        <v>3</v>
      </c>
      <c r="E358" t="s">
        <v>23</v>
      </c>
      <c r="F358" t="s">
        <v>26</v>
      </c>
      <c r="G358" t="s">
        <v>10</v>
      </c>
    </row>
    <row r="359" spans="1:7" x14ac:dyDescent="0.25">
      <c r="A359" t="s">
        <v>187</v>
      </c>
      <c r="B359">
        <v>245</v>
      </c>
      <c r="C359">
        <v>30</v>
      </c>
      <c r="D359">
        <v>2</v>
      </c>
      <c r="E359" t="s">
        <v>23</v>
      </c>
      <c r="F359" t="s">
        <v>26</v>
      </c>
      <c r="G359" t="s">
        <v>10</v>
      </c>
    </row>
    <row r="360" spans="1:7" x14ac:dyDescent="0.25">
      <c r="A360" t="s">
        <v>275</v>
      </c>
      <c r="B360">
        <v>376</v>
      </c>
      <c r="C360">
        <v>0</v>
      </c>
      <c r="D360">
        <v>7</v>
      </c>
      <c r="E360" t="s">
        <v>23</v>
      </c>
      <c r="F360" t="s">
        <v>57</v>
      </c>
      <c r="G360" t="s">
        <v>19</v>
      </c>
    </row>
    <row r="361" spans="1:7" x14ac:dyDescent="0.25">
      <c r="A361" t="s">
        <v>111</v>
      </c>
      <c r="B361">
        <v>45</v>
      </c>
      <c r="C361">
        <v>1</v>
      </c>
      <c r="D361">
        <v>3</v>
      </c>
      <c r="E361" t="s">
        <v>23</v>
      </c>
      <c r="F361" t="s">
        <v>81</v>
      </c>
      <c r="G361" t="s">
        <v>82</v>
      </c>
    </row>
    <row r="362" spans="1:7" x14ac:dyDescent="0.25">
      <c r="A362" t="s">
        <v>276</v>
      </c>
      <c r="B362">
        <v>45</v>
      </c>
      <c r="C362">
        <v>-28</v>
      </c>
      <c r="D362">
        <v>2</v>
      </c>
      <c r="E362" t="s">
        <v>23</v>
      </c>
      <c r="F362" t="s">
        <v>57</v>
      </c>
      <c r="G362" t="s">
        <v>82</v>
      </c>
    </row>
    <row r="363" spans="1:7" x14ac:dyDescent="0.25">
      <c r="A363" t="s">
        <v>277</v>
      </c>
      <c r="B363">
        <v>244</v>
      </c>
      <c r="C363">
        <v>-122</v>
      </c>
      <c r="D363">
        <v>5</v>
      </c>
      <c r="E363" t="s">
        <v>12</v>
      </c>
      <c r="F363" t="s">
        <v>131</v>
      </c>
      <c r="G363" t="s">
        <v>10</v>
      </c>
    </row>
    <row r="364" spans="1:7" x14ac:dyDescent="0.25">
      <c r="A364" t="s">
        <v>278</v>
      </c>
      <c r="B364">
        <v>244</v>
      </c>
      <c r="C364">
        <v>83</v>
      </c>
      <c r="D364">
        <v>2</v>
      </c>
      <c r="E364" t="s">
        <v>12</v>
      </c>
      <c r="F364" t="s">
        <v>16</v>
      </c>
      <c r="G364" t="s">
        <v>10</v>
      </c>
    </row>
    <row r="365" spans="1:7" x14ac:dyDescent="0.25">
      <c r="A365" t="s">
        <v>170</v>
      </c>
      <c r="B365">
        <v>10</v>
      </c>
      <c r="C365">
        <v>4</v>
      </c>
      <c r="D365">
        <v>1</v>
      </c>
      <c r="E365" t="s">
        <v>23</v>
      </c>
      <c r="F365" t="s">
        <v>32</v>
      </c>
      <c r="G365" t="s">
        <v>28</v>
      </c>
    </row>
    <row r="366" spans="1:7" x14ac:dyDescent="0.25">
      <c r="A366" t="s">
        <v>249</v>
      </c>
      <c r="B366">
        <v>375</v>
      </c>
      <c r="C366">
        <v>180</v>
      </c>
      <c r="D366">
        <v>3</v>
      </c>
      <c r="E366" t="s">
        <v>12</v>
      </c>
      <c r="F366" t="s">
        <v>16</v>
      </c>
      <c r="G366" t="s">
        <v>19</v>
      </c>
    </row>
    <row r="367" spans="1:7" x14ac:dyDescent="0.25">
      <c r="A367" t="s">
        <v>104</v>
      </c>
      <c r="B367">
        <v>46</v>
      </c>
      <c r="C367">
        <v>14</v>
      </c>
      <c r="D367">
        <v>5</v>
      </c>
      <c r="E367" t="s">
        <v>23</v>
      </c>
      <c r="F367" t="s">
        <v>43</v>
      </c>
      <c r="G367" t="s">
        <v>82</v>
      </c>
    </row>
    <row r="368" spans="1:7" x14ac:dyDescent="0.25">
      <c r="A368" t="s">
        <v>279</v>
      </c>
      <c r="B368">
        <v>49</v>
      </c>
      <c r="C368">
        <v>-31</v>
      </c>
      <c r="D368">
        <v>2</v>
      </c>
      <c r="E368" t="s">
        <v>23</v>
      </c>
      <c r="F368" t="s">
        <v>57</v>
      </c>
      <c r="G368" t="s">
        <v>28</v>
      </c>
    </row>
    <row r="369" spans="1:7" x14ac:dyDescent="0.25">
      <c r="A369" t="s">
        <v>280</v>
      </c>
      <c r="B369">
        <v>47</v>
      </c>
      <c r="C369">
        <v>-20</v>
      </c>
      <c r="D369">
        <v>2</v>
      </c>
      <c r="E369" t="s">
        <v>23</v>
      </c>
      <c r="F369" t="s">
        <v>32</v>
      </c>
      <c r="G369" t="s">
        <v>82</v>
      </c>
    </row>
    <row r="370" spans="1:7" x14ac:dyDescent="0.25">
      <c r="A370" t="s">
        <v>202</v>
      </c>
      <c r="B370">
        <v>355</v>
      </c>
      <c r="C370">
        <v>-114</v>
      </c>
      <c r="D370">
        <v>7</v>
      </c>
      <c r="E370" t="s">
        <v>23</v>
      </c>
      <c r="F370" t="s">
        <v>57</v>
      </c>
      <c r="G370" t="s">
        <v>19</v>
      </c>
    </row>
    <row r="371" spans="1:7" x14ac:dyDescent="0.25">
      <c r="A371" t="s">
        <v>281</v>
      </c>
      <c r="B371">
        <v>32</v>
      </c>
      <c r="C371">
        <v>8</v>
      </c>
      <c r="D371">
        <v>5</v>
      </c>
      <c r="E371" t="s">
        <v>23</v>
      </c>
      <c r="F371" t="s">
        <v>30</v>
      </c>
      <c r="G371" t="s">
        <v>28</v>
      </c>
    </row>
    <row r="372" spans="1:7" x14ac:dyDescent="0.25">
      <c r="A372" t="s">
        <v>7</v>
      </c>
      <c r="B372">
        <v>243</v>
      </c>
      <c r="C372">
        <v>-14</v>
      </c>
      <c r="D372">
        <v>2</v>
      </c>
      <c r="E372" t="s">
        <v>12</v>
      </c>
      <c r="F372" t="s">
        <v>13</v>
      </c>
      <c r="G372" t="s">
        <v>10</v>
      </c>
    </row>
    <row r="373" spans="1:7" x14ac:dyDescent="0.25">
      <c r="A373" t="s">
        <v>282</v>
      </c>
      <c r="B373">
        <v>241</v>
      </c>
      <c r="C373">
        <v>-77</v>
      </c>
      <c r="D373">
        <v>4</v>
      </c>
      <c r="E373" t="s">
        <v>8</v>
      </c>
      <c r="F373" t="s">
        <v>9</v>
      </c>
      <c r="G373" t="s">
        <v>10</v>
      </c>
    </row>
    <row r="374" spans="1:7" x14ac:dyDescent="0.25">
      <c r="A374" t="s">
        <v>283</v>
      </c>
      <c r="B374">
        <v>47</v>
      </c>
      <c r="C374">
        <v>15</v>
      </c>
      <c r="D374">
        <v>5</v>
      </c>
      <c r="E374" t="s">
        <v>23</v>
      </c>
      <c r="F374" t="s">
        <v>26</v>
      </c>
      <c r="G374" t="s">
        <v>82</v>
      </c>
    </row>
    <row r="375" spans="1:7" x14ac:dyDescent="0.25">
      <c r="A375" t="s">
        <v>49</v>
      </c>
      <c r="B375">
        <v>50</v>
      </c>
      <c r="C375">
        <v>-10</v>
      </c>
      <c r="D375">
        <v>6</v>
      </c>
      <c r="E375" t="s">
        <v>23</v>
      </c>
      <c r="F375" t="s">
        <v>43</v>
      </c>
      <c r="G375" t="s">
        <v>82</v>
      </c>
    </row>
    <row r="376" spans="1:7" x14ac:dyDescent="0.25">
      <c r="A376" t="s">
        <v>211</v>
      </c>
      <c r="B376">
        <v>15</v>
      </c>
      <c r="C376">
        <v>6</v>
      </c>
      <c r="D376">
        <v>2</v>
      </c>
      <c r="E376" t="s">
        <v>23</v>
      </c>
      <c r="F376" t="s">
        <v>30</v>
      </c>
      <c r="G376" t="s">
        <v>10</v>
      </c>
    </row>
    <row r="377" spans="1:7" x14ac:dyDescent="0.25">
      <c r="A377" t="s">
        <v>111</v>
      </c>
      <c r="B377">
        <v>148</v>
      </c>
      <c r="C377">
        <v>24</v>
      </c>
      <c r="D377">
        <v>3</v>
      </c>
      <c r="E377" t="s">
        <v>23</v>
      </c>
      <c r="F377" t="s">
        <v>57</v>
      </c>
      <c r="G377" t="s">
        <v>10</v>
      </c>
    </row>
    <row r="378" spans="1:7" x14ac:dyDescent="0.25">
      <c r="A378" t="s">
        <v>284</v>
      </c>
      <c r="B378">
        <v>299</v>
      </c>
      <c r="C378">
        <v>-28</v>
      </c>
      <c r="D378">
        <v>3</v>
      </c>
      <c r="E378" t="s">
        <v>8</v>
      </c>
      <c r="F378" t="s">
        <v>9</v>
      </c>
      <c r="G378" t="s">
        <v>28</v>
      </c>
    </row>
    <row r="379" spans="1:7" x14ac:dyDescent="0.25">
      <c r="A379" t="s">
        <v>112</v>
      </c>
      <c r="B379">
        <v>68</v>
      </c>
      <c r="C379">
        <v>-30</v>
      </c>
      <c r="D379">
        <v>1</v>
      </c>
      <c r="E379" t="s">
        <v>8</v>
      </c>
      <c r="F379" t="s">
        <v>21</v>
      </c>
      <c r="G379" t="s">
        <v>28</v>
      </c>
    </row>
    <row r="380" spans="1:7" x14ac:dyDescent="0.25">
      <c r="A380" t="s">
        <v>111</v>
      </c>
      <c r="B380">
        <v>52</v>
      </c>
      <c r="C380">
        <v>18</v>
      </c>
      <c r="D380">
        <v>5</v>
      </c>
      <c r="E380" t="s">
        <v>23</v>
      </c>
      <c r="F380" t="s">
        <v>63</v>
      </c>
      <c r="G380" t="s">
        <v>82</v>
      </c>
    </row>
    <row r="381" spans="1:7" x14ac:dyDescent="0.25">
      <c r="A381" t="s">
        <v>163</v>
      </c>
      <c r="B381">
        <v>239</v>
      </c>
      <c r="C381">
        <v>-162</v>
      </c>
      <c r="D381">
        <v>5</v>
      </c>
      <c r="E381" t="s">
        <v>12</v>
      </c>
      <c r="F381" t="s">
        <v>13</v>
      </c>
      <c r="G381" t="s">
        <v>10</v>
      </c>
    </row>
    <row r="382" spans="1:7" x14ac:dyDescent="0.25">
      <c r="A382" t="s">
        <v>167</v>
      </c>
      <c r="B382">
        <v>27</v>
      </c>
      <c r="C382">
        <v>6</v>
      </c>
      <c r="D382">
        <v>3</v>
      </c>
      <c r="E382" t="s">
        <v>23</v>
      </c>
      <c r="F382" t="s">
        <v>43</v>
      </c>
      <c r="G382" t="s">
        <v>10</v>
      </c>
    </row>
    <row r="383" spans="1:7" x14ac:dyDescent="0.25">
      <c r="A383" t="s">
        <v>135</v>
      </c>
      <c r="B383">
        <v>238</v>
      </c>
      <c r="C383">
        <v>20</v>
      </c>
      <c r="D383">
        <v>2</v>
      </c>
      <c r="E383" t="s">
        <v>23</v>
      </c>
      <c r="F383" t="s">
        <v>26</v>
      </c>
      <c r="G383" t="s">
        <v>10</v>
      </c>
    </row>
    <row r="384" spans="1:7" x14ac:dyDescent="0.25">
      <c r="A384" t="s">
        <v>209</v>
      </c>
      <c r="B384">
        <v>48</v>
      </c>
      <c r="C384">
        <v>16</v>
      </c>
      <c r="D384">
        <v>3</v>
      </c>
      <c r="E384" t="s">
        <v>23</v>
      </c>
      <c r="F384" t="s">
        <v>142</v>
      </c>
      <c r="G384" t="s">
        <v>10</v>
      </c>
    </row>
    <row r="385" spans="1:7" x14ac:dyDescent="0.25">
      <c r="A385" t="s">
        <v>285</v>
      </c>
      <c r="B385">
        <v>66</v>
      </c>
      <c r="C385">
        <v>22</v>
      </c>
      <c r="D385">
        <v>3</v>
      </c>
      <c r="E385" t="s">
        <v>23</v>
      </c>
      <c r="F385" t="s">
        <v>57</v>
      </c>
      <c r="G385" t="s">
        <v>28</v>
      </c>
    </row>
    <row r="386" spans="1:7" x14ac:dyDescent="0.25">
      <c r="A386" t="s">
        <v>286</v>
      </c>
      <c r="B386">
        <v>53</v>
      </c>
      <c r="C386">
        <v>24</v>
      </c>
      <c r="D386">
        <v>1</v>
      </c>
      <c r="E386" t="s">
        <v>23</v>
      </c>
      <c r="F386" t="s">
        <v>30</v>
      </c>
      <c r="G386" t="s">
        <v>82</v>
      </c>
    </row>
    <row r="387" spans="1:7" x14ac:dyDescent="0.25">
      <c r="A387" t="s">
        <v>239</v>
      </c>
      <c r="B387">
        <v>233</v>
      </c>
      <c r="C387">
        <v>-10</v>
      </c>
      <c r="D387">
        <v>5</v>
      </c>
      <c r="E387" t="s">
        <v>8</v>
      </c>
      <c r="F387" t="s">
        <v>9</v>
      </c>
      <c r="G387" t="s">
        <v>10</v>
      </c>
    </row>
    <row r="388" spans="1:7" x14ac:dyDescent="0.25">
      <c r="A388" t="s">
        <v>234</v>
      </c>
      <c r="B388">
        <v>53</v>
      </c>
      <c r="C388">
        <v>-2</v>
      </c>
      <c r="D388">
        <v>3</v>
      </c>
      <c r="E388" t="s">
        <v>23</v>
      </c>
      <c r="F388" t="s">
        <v>26</v>
      </c>
      <c r="G388" t="s">
        <v>82</v>
      </c>
    </row>
    <row r="389" spans="1:7" x14ac:dyDescent="0.25">
      <c r="A389" t="s">
        <v>207</v>
      </c>
      <c r="B389">
        <v>54</v>
      </c>
      <c r="C389">
        <v>8</v>
      </c>
      <c r="D389">
        <v>4</v>
      </c>
      <c r="E389" t="s">
        <v>23</v>
      </c>
      <c r="F389" t="s">
        <v>81</v>
      </c>
      <c r="G389" t="s">
        <v>82</v>
      </c>
    </row>
    <row r="390" spans="1:7" x14ac:dyDescent="0.25">
      <c r="A390" t="s">
        <v>287</v>
      </c>
      <c r="B390">
        <v>352</v>
      </c>
      <c r="C390">
        <v>-345</v>
      </c>
      <c r="D390">
        <v>5</v>
      </c>
      <c r="E390" t="s">
        <v>23</v>
      </c>
      <c r="F390" t="s">
        <v>26</v>
      </c>
      <c r="G390" t="s">
        <v>19</v>
      </c>
    </row>
    <row r="391" spans="1:7" x14ac:dyDescent="0.25">
      <c r="A391" t="s">
        <v>146</v>
      </c>
      <c r="B391">
        <v>349</v>
      </c>
      <c r="C391">
        <v>0</v>
      </c>
      <c r="D391">
        <v>7</v>
      </c>
      <c r="E391" t="s">
        <v>23</v>
      </c>
      <c r="F391" t="s">
        <v>57</v>
      </c>
      <c r="G391" t="s">
        <v>19</v>
      </c>
    </row>
    <row r="392" spans="1:7" x14ac:dyDescent="0.25">
      <c r="A392" t="s">
        <v>288</v>
      </c>
      <c r="B392">
        <v>341</v>
      </c>
      <c r="C392">
        <v>-85</v>
      </c>
      <c r="D392">
        <v>6</v>
      </c>
      <c r="E392" t="s">
        <v>23</v>
      </c>
      <c r="F392" t="s">
        <v>24</v>
      </c>
      <c r="G392" t="s">
        <v>19</v>
      </c>
    </row>
    <row r="393" spans="1:7" x14ac:dyDescent="0.25">
      <c r="A393" t="s">
        <v>264</v>
      </c>
      <c r="B393">
        <v>54</v>
      </c>
      <c r="C393">
        <v>12</v>
      </c>
      <c r="D393">
        <v>3</v>
      </c>
      <c r="E393" t="s">
        <v>23</v>
      </c>
      <c r="F393" t="s">
        <v>26</v>
      </c>
      <c r="G393" t="s">
        <v>82</v>
      </c>
    </row>
    <row r="394" spans="1:7" x14ac:dyDescent="0.25">
      <c r="A394" t="s">
        <v>11</v>
      </c>
      <c r="B394">
        <v>57</v>
      </c>
      <c r="C394">
        <v>7</v>
      </c>
      <c r="D394">
        <v>2</v>
      </c>
      <c r="E394" t="s">
        <v>23</v>
      </c>
      <c r="F394" t="s">
        <v>142</v>
      </c>
      <c r="G394" t="s">
        <v>28</v>
      </c>
    </row>
    <row r="395" spans="1:7" x14ac:dyDescent="0.25">
      <c r="A395" t="s">
        <v>85</v>
      </c>
      <c r="B395">
        <v>340</v>
      </c>
      <c r="C395">
        <v>20</v>
      </c>
      <c r="D395">
        <v>7</v>
      </c>
      <c r="E395" t="s">
        <v>23</v>
      </c>
      <c r="F395" t="s">
        <v>142</v>
      </c>
      <c r="G395" t="s">
        <v>19</v>
      </c>
    </row>
    <row r="396" spans="1:7" x14ac:dyDescent="0.25">
      <c r="A396" t="s">
        <v>11</v>
      </c>
      <c r="B396">
        <v>227</v>
      </c>
      <c r="C396">
        <v>48</v>
      </c>
      <c r="D396">
        <v>5</v>
      </c>
      <c r="E396" t="s">
        <v>23</v>
      </c>
      <c r="F396" t="s">
        <v>57</v>
      </c>
      <c r="G396" t="s">
        <v>10</v>
      </c>
    </row>
    <row r="397" spans="1:7" x14ac:dyDescent="0.25">
      <c r="A397" t="s">
        <v>255</v>
      </c>
      <c r="B397">
        <v>330</v>
      </c>
      <c r="C397">
        <v>81</v>
      </c>
      <c r="D397">
        <v>1</v>
      </c>
      <c r="E397" t="s">
        <v>12</v>
      </c>
      <c r="F397" t="s">
        <v>16</v>
      </c>
      <c r="G397" t="s">
        <v>19</v>
      </c>
    </row>
    <row r="398" spans="1:7" x14ac:dyDescent="0.25">
      <c r="A398" t="s">
        <v>62</v>
      </c>
      <c r="B398">
        <v>216</v>
      </c>
      <c r="C398">
        <v>-38</v>
      </c>
      <c r="D398">
        <v>6</v>
      </c>
      <c r="E398" t="s">
        <v>12</v>
      </c>
      <c r="F398" t="s">
        <v>131</v>
      </c>
      <c r="G398" t="s">
        <v>28</v>
      </c>
    </row>
    <row r="399" spans="1:7" x14ac:dyDescent="0.25">
      <c r="A399" t="s">
        <v>289</v>
      </c>
      <c r="B399">
        <v>224</v>
      </c>
      <c r="C399">
        <v>-143</v>
      </c>
      <c r="D399">
        <v>3</v>
      </c>
      <c r="E399" t="s">
        <v>12</v>
      </c>
      <c r="F399" t="s">
        <v>13</v>
      </c>
      <c r="G399" t="s">
        <v>10</v>
      </c>
    </row>
    <row r="400" spans="1:7" x14ac:dyDescent="0.25">
      <c r="A400" t="s">
        <v>290</v>
      </c>
      <c r="B400">
        <v>55</v>
      </c>
      <c r="C400">
        <v>-33</v>
      </c>
      <c r="D400">
        <v>2</v>
      </c>
      <c r="E400" t="s">
        <v>12</v>
      </c>
      <c r="F400" t="s">
        <v>13</v>
      </c>
      <c r="G400" t="s">
        <v>82</v>
      </c>
    </row>
    <row r="401" spans="1:7" x14ac:dyDescent="0.25">
      <c r="A401" t="s">
        <v>153</v>
      </c>
      <c r="B401">
        <v>49</v>
      </c>
      <c r="C401">
        <v>21</v>
      </c>
      <c r="D401">
        <v>1</v>
      </c>
      <c r="E401" t="s">
        <v>23</v>
      </c>
      <c r="F401" t="s">
        <v>57</v>
      </c>
      <c r="G401" t="s">
        <v>28</v>
      </c>
    </row>
    <row r="402" spans="1:7" x14ac:dyDescent="0.25">
      <c r="A402" t="s">
        <v>207</v>
      </c>
      <c r="B402">
        <v>224</v>
      </c>
      <c r="C402">
        <v>87</v>
      </c>
      <c r="D402">
        <v>3</v>
      </c>
      <c r="E402" t="s">
        <v>23</v>
      </c>
      <c r="F402" t="s">
        <v>24</v>
      </c>
      <c r="G402" t="s">
        <v>10</v>
      </c>
    </row>
    <row r="403" spans="1:7" x14ac:dyDescent="0.25">
      <c r="A403" t="s">
        <v>187</v>
      </c>
      <c r="B403">
        <v>223</v>
      </c>
      <c r="C403">
        <v>27</v>
      </c>
      <c r="D403">
        <v>2</v>
      </c>
      <c r="E403" t="s">
        <v>12</v>
      </c>
      <c r="F403" t="s">
        <v>16</v>
      </c>
      <c r="G403" t="s">
        <v>10</v>
      </c>
    </row>
    <row r="404" spans="1:7" x14ac:dyDescent="0.25">
      <c r="A404" t="s">
        <v>291</v>
      </c>
      <c r="B404">
        <v>324</v>
      </c>
      <c r="C404">
        <v>39</v>
      </c>
      <c r="D404">
        <v>8</v>
      </c>
      <c r="E404" t="s">
        <v>8</v>
      </c>
      <c r="F404" t="s">
        <v>73</v>
      </c>
      <c r="G404" t="s">
        <v>19</v>
      </c>
    </row>
    <row r="405" spans="1:7" x14ac:dyDescent="0.25">
      <c r="A405" t="s">
        <v>123</v>
      </c>
      <c r="B405">
        <v>56</v>
      </c>
      <c r="C405">
        <v>18</v>
      </c>
      <c r="D405">
        <v>2</v>
      </c>
      <c r="E405" t="s">
        <v>23</v>
      </c>
      <c r="F405" t="s">
        <v>30</v>
      </c>
      <c r="G405" t="s">
        <v>82</v>
      </c>
    </row>
    <row r="406" spans="1:7" x14ac:dyDescent="0.25">
      <c r="A406" t="s">
        <v>292</v>
      </c>
      <c r="B406">
        <v>223</v>
      </c>
      <c r="C406">
        <v>62</v>
      </c>
      <c r="D406">
        <v>7</v>
      </c>
      <c r="E406" t="s">
        <v>23</v>
      </c>
      <c r="F406" t="s">
        <v>142</v>
      </c>
      <c r="G406" t="s">
        <v>10</v>
      </c>
    </row>
    <row r="407" spans="1:7" x14ac:dyDescent="0.25">
      <c r="A407" t="s">
        <v>269</v>
      </c>
      <c r="B407">
        <v>10</v>
      </c>
      <c r="C407">
        <v>2</v>
      </c>
      <c r="D407">
        <v>2</v>
      </c>
      <c r="E407" t="s">
        <v>23</v>
      </c>
      <c r="F407" t="s">
        <v>43</v>
      </c>
      <c r="G407" t="s">
        <v>10</v>
      </c>
    </row>
    <row r="408" spans="1:7" x14ac:dyDescent="0.25">
      <c r="A408" t="s">
        <v>293</v>
      </c>
      <c r="B408">
        <v>57</v>
      </c>
      <c r="C408">
        <v>6</v>
      </c>
      <c r="D408">
        <v>5</v>
      </c>
      <c r="E408" t="s">
        <v>23</v>
      </c>
      <c r="F408" t="s">
        <v>63</v>
      </c>
      <c r="G408" t="s">
        <v>82</v>
      </c>
    </row>
    <row r="409" spans="1:7" x14ac:dyDescent="0.25">
      <c r="A409" t="s">
        <v>103</v>
      </c>
      <c r="B409">
        <v>322</v>
      </c>
      <c r="C409">
        <v>-113</v>
      </c>
      <c r="D409">
        <v>4</v>
      </c>
      <c r="E409" t="s">
        <v>23</v>
      </c>
      <c r="F409" t="s">
        <v>26</v>
      </c>
      <c r="G409" t="s">
        <v>19</v>
      </c>
    </row>
    <row r="410" spans="1:7" x14ac:dyDescent="0.25">
      <c r="A410" t="s">
        <v>294</v>
      </c>
      <c r="B410">
        <v>219</v>
      </c>
      <c r="C410">
        <v>4</v>
      </c>
      <c r="D410">
        <v>2</v>
      </c>
      <c r="E410" t="s">
        <v>23</v>
      </c>
      <c r="F410" t="s">
        <v>26</v>
      </c>
      <c r="G410" t="s">
        <v>10</v>
      </c>
    </row>
    <row r="411" spans="1:7" x14ac:dyDescent="0.25">
      <c r="A411" t="s">
        <v>295</v>
      </c>
      <c r="B411">
        <v>103</v>
      </c>
      <c r="C411">
        <v>21</v>
      </c>
      <c r="D411">
        <v>7</v>
      </c>
      <c r="E411" t="s">
        <v>23</v>
      </c>
      <c r="F411" t="s">
        <v>57</v>
      </c>
      <c r="G411" t="s">
        <v>28</v>
      </c>
    </row>
    <row r="412" spans="1:7" x14ac:dyDescent="0.25">
      <c r="A412" t="s">
        <v>33</v>
      </c>
      <c r="B412">
        <v>47</v>
      </c>
      <c r="C412">
        <v>-27</v>
      </c>
      <c r="D412">
        <v>4</v>
      </c>
      <c r="E412" t="s">
        <v>23</v>
      </c>
      <c r="F412" t="s">
        <v>26</v>
      </c>
      <c r="G412" t="s">
        <v>10</v>
      </c>
    </row>
    <row r="413" spans="1:7" x14ac:dyDescent="0.25">
      <c r="A413" t="s">
        <v>187</v>
      </c>
      <c r="B413">
        <v>219</v>
      </c>
      <c r="C413">
        <v>0</v>
      </c>
      <c r="D413">
        <v>1</v>
      </c>
      <c r="E413" t="s">
        <v>23</v>
      </c>
      <c r="F413" t="s">
        <v>26</v>
      </c>
      <c r="G413" t="s">
        <v>10</v>
      </c>
    </row>
    <row r="414" spans="1:7" x14ac:dyDescent="0.25">
      <c r="A414" t="s">
        <v>240</v>
      </c>
      <c r="B414">
        <v>57</v>
      </c>
      <c r="C414">
        <v>-48</v>
      </c>
      <c r="D414">
        <v>6</v>
      </c>
      <c r="E414" t="s">
        <v>23</v>
      </c>
      <c r="F414" t="s">
        <v>63</v>
      </c>
      <c r="G414" t="s">
        <v>82</v>
      </c>
    </row>
    <row r="415" spans="1:7" x14ac:dyDescent="0.25">
      <c r="A415" t="s">
        <v>296</v>
      </c>
      <c r="B415">
        <v>319</v>
      </c>
      <c r="C415">
        <v>102</v>
      </c>
      <c r="D415">
        <v>6</v>
      </c>
      <c r="E415" t="s">
        <v>8</v>
      </c>
      <c r="F415" t="s">
        <v>73</v>
      </c>
      <c r="G415" t="s">
        <v>19</v>
      </c>
    </row>
    <row r="416" spans="1:7" x14ac:dyDescent="0.25">
      <c r="A416" t="s">
        <v>60</v>
      </c>
      <c r="B416">
        <v>315</v>
      </c>
      <c r="C416">
        <v>-8</v>
      </c>
      <c r="D416">
        <v>3</v>
      </c>
      <c r="E416" t="s">
        <v>12</v>
      </c>
      <c r="F416" t="s">
        <v>13</v>
      </c>
      <c r="G416" t="s">
        <v>19</v>
      </c>
    </row>
    <row r="417" spans="1:7" x14ac:dyDescent="0.25">
      <c r="A417" t="s">
        <v>216</v>
      </c>
      <c r="B417">
        <v>314</v>
      </c>
      <c r="C417">
        <v>-41</v>
      </c>
      <c r="D417">
        <v>3</v>
      </c>
      <c r="E417" t="s">
        <v>8</v>
      </c>
      <c r="F417" t="s">
        <v>9</v>
      </c>
      <c r="G417" t="s">
        <v>19</v>
      </c>
    </row>
    <row r="418" spans="1:7" x14ac:dyDescent="0.25">
      <c r="A418" t="s">
        <v>194</v>
      </c>
      <c r="B418">
        <v>311</v>
      </c>
      <c r="C418">
        <v>40</v>
      </c>
      <c r="D418">
        <v>1</v>
      </c>
      <c r="E418" t="s">
        <v>8</v>
      </c>
      <c r="F418" t="s">
        <v>9</v>
      </c>
      <c r="G418" t="s">
        <v>14</v>
      </c>
    </row>
    <row r="419" spans="1:7" x14ac:dyDescent="0.25">
      <c r="A419" t="s">
        <v>79</v>
      </c>
      <c r="B419">
        <v>307</v>
      </c>
      <c r="C419">
        <v>74</v>
      </c>
      <c r="D419">
        <v>3</v>
      </c>
      <c r="E419" t="s">
        <v>8</v>
      </c>
      <c r="F419" t="s">
        <v>73</v>
      </c>
      <c r="G419" t="s">
        <v>14</v>
      </c>
    </row>
    <row r="420" spans="1:7" x14ac:dyDescent="0.25">
      <c r="A420" t="s">
        <v>187</v>
      </c>
      <c r="B420">
        <v>294</v>
      </c>
      <c r="C420">
        <v>109</v>
      </c>
      <c r="D420">
        <v>7</v>
      </c>
      <c r="E420" t="s">
        <v>8</v>
      </c>
      <c r="F420" t="s">
        <v>73</v>
      </c>
      <c r="G420" t="s">
        <v>14</v>
      </c>
    </row>
    <row r="421" spans="1:7" x14ac:dyDescent="0.25">
      <c r="A421" t="s">
        <v>271</v>
      </c>
      <c r="B421">
        <v>216</v>
      </c>
      <c r="C421">
        <v>-83</v>
      </c>
      <c r="D421">
        <v>3</v>
      </c>
      <c r="E421" t="s">
        <v>8</v>
      </c>
      <c r="F421" t="s">
        <v>9</v>
      </c>
      <c r="G421" t="s">
        <v>10</v>
      </c>
    </row>
    <row r="422" spans="1:7" x14ac:dyDescent="0.25">
      <c r="A422" t="s">
        <v>290</v>
      </c>
      <c r="B422">
        <v>58</v>
      </c>
      <c r="C422">
        <v>-42</v>
      </c>
      <c r="D422">
        <v>2</v>
      </c>
      <c r="E422" t="s">
        <v>12</v>
      </c>
      <c r="F422" t="s">
        <v>13</v>
      </c>
      <c r="G422" t="s">
        <v>82</v>
      </c>
    </row>
    <row r="423" spans="1:7" x14ac:dyDescent="0.25">
      <c r="A423" t="s">
        <v>72</v>
      </c>
      <c r="B423">
        <v>48</v>
      </c>
      <c r="C423">
        <v>20</v>
      </c>
      <c r="D423">
        <v>4</v>
      </c>
      <c r="E423" t="s">
        <v>23</v>
      </c>
      <c r="F423" t="s">
        <v>57</v>
      </c>
      <c r="G423" t="s">
        <v>28</v>
      </c>
    </row>
    <row r="424" spans="1:7" x14ac:dyDescent="0.25">
      <c r="A424" t="s">
        <v>15</v>
      </c>
      <c r="B424">
        <v>54</v>
      </c>
      <c r="C424">
        <v>14</v>
      </c>
      <c r="D424">
        <v>3</v>
      </c>
      <c r="E424" t="s">
        <v>23</v>
      </c>
      <c r="F424" t="s">
        <v>81</v>
      </c>
      <c r="G424" t="s">
        <v>28</v>
      </c>
    </row>
    <row r="425" spans="1:7" x14ac:dyDescent="0.25">
      <c r="A425" t="s">
        <v>88</v>
      </c>
      <c r="B425">
        <v>216</v>
      </c>
      <c r="C425">
        <v>50</v>
      </c>
      <c r="D425">
        <v>4</v>
      </c>
      <c r="E425" t="s">
        <v>23</v>
      </c>
      <c r="F425" t="s">
        <v>57</v>
      </c>
      <c r="G425" t="s">
        <v>10</v>
      </c>
    </row>
    <row r="426" spans="1:7" x14ac:dyDescent="0.25">
      <c r="A426" t="s">
        <v>292</v>
      </c>
      <c r="B426">
        <v>215</v>
      </c>
      <c r="C426">
        <v>-30</v>
      </c>
      <c r="D426">
        <v>2</v>
      </c>
      <c r="E426" t="s">
        <v>23</v>
      </c>
      <c r="F426" t="s">
        <v>26</v>
      </c>
      <c r="G426" t="s">
        <v>10</v>
      </c>
    </row>
    <row r="427" spans="1:7" x14ac:dyDescent="0.25">
      <c r="A427" t="s">
        <v>297</v>
      </c>
      <c r="B427">
        <v>43</v>
      </c>
      <c r="C427">
        <v>8</v>
      </c>
      <c r="D427">
        <v>3</v>
      </c>
      <c r="E427" t="s">
        <v>23</v>
      </c>
      <c r="F427" t="s">
        <v>63</v>
      </c>
      <c r="G427" t="s">
        <v>10</v>
      </c>
    </row>
    <row r="428" spans="1:7" x14ac:dyDescent="0.25">
      <c r="A428" t="s">
        <v>46</v>
      </c>
      <c r="B428">
        <v>136</v>
      </c>
      <c r="C428">
        <v>-33</v>
      </c>
      <c r="D428">
        <v>5</v>
      </c>
      <c r="E428" t="s">
        <v>23</v>
      </c>
      <c r="F428" t="s">
        <v>26</v>
      </c>
      <c r="G428" t="s">
        <v>10</v>
      </c>
    </row>
    <row r="429" spans="1:7" x14ac:dyDescent="0.25">
      <c r="A429" t="s">
        <v>298</v>
      </c>
      <c r="B429">
        <v>59</v>
      </c>
      <c r="C429">
        <v>-30</v>
      </c>
      <c r="D429">
        <v>3</v>
      </c>
      <c r="E429" t="s">
        <v>23</v>
      </c>
      <c r="F429" t="s">
        <v>63</v>
      </c>
      <c r="G429" t="s">
        <v>82</v>
      </c>
    </row>
    <row r="430" spans="1:7" x14ac:dyDescent="0.25">
      <c r="A430" t="s">
        <v>11</v>
      </c>
      <c r="B430">
        <v>213</v>
      </c>
      <c r="C430">
        <v>4</v>
      </c>
      <c r="D430">
        <v>14</v>
      </c>
      <c r="E430" t="s">
        <v>23</v>
      </c>
      <c r="F430" t="s">
        <v>142</v>
      </c>
      <c r="G430" t="s">
        <v>10</v>
      </c>
    </row>
    <row r="431" spans="1:7" x14ac:dyDescent="0.25">
      <c r="A431" t="s">
        <v>285</v>
      </c>
      <c r="B431">
        <v>59</v>
      </c>
      <c r="C431">
        <v>21</v>
      </c>
      <c r="D431">
        <v>2</v>
      </c>
      <c r="E431" t="s">
        <v>23</v>
      </c>
      <c r="F431" t="s">
        <v>57</v>
      </c>
      <c r="G431" t="s">
        <v>82</v>
      </c>
    </row>
    <row r="432" spans="1:7" x14ac:dyDescent="0.25">
      <c r="A432" t="s">
        <v>299</v>
      </c>
      <c r="B432">
        <v>55</v>
      </c>
      <c r="C432">
        <v>3</v>
      </c>
      <c r="D432">
        <v>3</v>
      </c>
      <c r="E432" t="s">
        <v>23</v>
      </c>
      <c r="F432" t="s">
        <v>81</v>
      </c>
      <c r="G432" t="s">
        <v>10</v>
      </c>
    </row>
    <row r="433" spans="1:7" x14ac:dyDescent="0.25">
      <c r="A433" t="s">
        <v>15</v>
      </c>
      <c r="B433">
        <v>294</v>
      </c>
      <c r="C433">
        <v>62</v>
      </c>
      <c r="D433">
        <v>9</v>
      </c>
      <c r="E433" t="s">
        <v>23</v>
      </c>
      <c r="F433" t="s">
        <v>81</v>
      </c>
      <c r="G433" t="s">
        <v>14</v>
      </c>
    </row>
    <row r="434" spans="1:7" x14ac:dyDescent="0.25">
      <c r="A434" t="s">
        <v>89</v>
      </c>
      <c r="B434">
        <v>210</v>
      </c>
      <c r="C434">
        <v>62</v>
      </c>
      <c r="D434">
        <v>2</v>
      </c>
      <c r="E434" t="s">
        <v>8</v>
      </c>
      <c r="F434" t="s">
        <v>21</v>
      </c>
      <c r="G434" t="s">
        <v>10</v>
      </c>
    </row>
    <row r="435" spans="1:7" x14ac:dyDescent="0.25">
      <c r="A435" t="s">
        <v>238</v>
      </c>
      <c r="B435">
        <v>59</v>
      </c>
      <c r="C435">
        <v>24</v>
      </c>
      <c r="D435">
        <v>6</v>
      </c>
      <c r="E435" t="s">
        <v>23</v>
      </c>
      <c r="F435" t="s">
        <v>32</v>
      </c>
      <c r="G435" t="s">
        <v>82</v>
      </c>
    </row>
    <row r="436" spans="1:7" x14ac:dyDescent="0.25">
      <c r="A436" t="s">
        <v>38</v>
      </c>
      <c r="B436">
        <v>396</v>
      </c>
      <c r="C436">
        <v>-31</v>
      </c>
      <c r="D436">
        <v>9</v>
      </c>
      <c r="E436" t="s">
        <v>23</v>
      </c>
      <c r="F436" t="s">
        <v>26</v>
      </c>
      <c r="G436" t="s">
        <v>10</v>
      </c>
    </row>
    <row r="437" spans="1:7" x14ac:dyDescent="0.25">
      <c r="A437" t="s">
        <v>300</v>
      </c>
      <c r="B437">
        <v>284</v>
      </c>
      <c r="C437">
        <v>45</v>
      </c>
      <c r="D437">
        <v>2</v>
      </c>
      <c r="E437" t="s">
        <v>12</v>
      </c>
      <c r="F437" t="s">
        <v>16</v>
      </c>
      <c r="G437" t="s">
        <v>14</v>
      </c>
    </row>
    <row r="438" spans="1:7" x14ac:dyDescent="0.25">
      <c r="A438" t="s">
        <v>301</v>
      </c>
      <c r="B438">
        <v>276</v>
      </c>
      <c r="C438">
        <v>52</v>
      </c>
      <c r="D438">
        <v>5</v>
      </c>
      <c r="E438" t="s">
        <v>23</v>
      </c>
      <c r="F438" t="s">
        <v>26</v>
      </c>
      <c r="G438" t="s">
        <v>14</v>
      </c>
    </row>
    <row r="439" spans="1:7" x14ac:dyDescent="0.25">
      <c r="A439" t="s">
        <v>259</v>
      </c>
      <c r="B439">
        <v>23</v>
      </c>
      <c r="C439">
        <v>2</v>
      </c>
      <c r="D439">
        <v>2</v>
      </c>
      <c r="E439" t="s">
        <v>23</v>
      </c>
      <c r="F439" t="s">
        <v>43</v>
      </c>
      <c r="G439" t="s">
        <v>28</v>
      </c>
    </row>
    <row r="440" spans="1:7" x14ac:dyDescent="0.25">
      <c r="A440" t="s">
        <v>302</v>
      </c>
      <c r="B440">
        <v>209</v>
      </c>
      <c r="C440">
        <v>-63</v>
      </c>
      <c r="D440">
        <v>4</v>
      </c>
      <c r="E440" t="s">
        <v>8</v>
      </c>
      <c r="F440" t="s">
        <v>9</v>
      </c>
      <c r="G440" t="s">
        <v>10</v>
      </c>
    </row>
    <row r="441" spans="1:7" x14ac:dyDescent="0.25">
      <c r="A441" t="s">
        <v>303</v>
      </c>
      <c r="B441">
        <v>50</v>
      </c>
      <c r="C441">
        <v>-28</v>
      </c>
      <c r="D441">
        <v>5</v>
      </c>
      <c r="E441" t="s">
        <v>12</v>
      </c>
      <c r="F441" t="s">
        <v>131</v>
      </c>
      <c r="G441" t="s">
        <v>10</v>
      </c>
    </row>
    <row r="442" spans="1:7" x14ac:dyDescent="0.25">
      <c r="A442" t="s">
        <v>304</v>
      </c>
      <c r="B442">
        <v>57</v>
      </c>
      <c r="C442">
        <v>27</v>
      </c>
      <c r="D442">
        <v>2</v>
      </c>
      <c r="E442" t="s">
        <v>23</v>
      </c>
      <c r="F442" t="s">
        <v>142</v>
      </c>
      <c r="G442" t="s">
        <v>10</v>
      </c>
    </row>
    <row r="443" spans="1:7" x14ac:dyDescent="0.25">
      <c r="A443" t="s">
        <v>305</v>
      </c>
      <c r="B443">
        <v>276</v>
      </c>
      <c r="C443">
        <v>-21</v>
      </c>
      <c r="D443">
        <v>2</v>
      </c>
      <c r="E443" t="s">
        <v>8</v>
      </c>
      <c r="F443" t="s">
        <v>21</v>
      </c>
      <c r="G443" t="s">
        <v>14</v>
      </c>
    </row>
    <row r="444" spans="1:7" x14ac:dyDescent="0.25">
      <c r="A444" t="s">
        <v>306</v>
      </c>
      <c r="B444">
        <v>268</v>
      </c>
      <c r="C444">
        <v>6</v>
      </c>
      <c r="D444">
        <v>2</v>
      </c>
      <c r="E444" t="s">
        <v>12</v>
      </c>
      <c r="F444" t="s">
        <v>16</v>
      </c>
      <c r="G444" t="s">
        <v>28</v>
      </c>
    </row>
    <row r="445" spans="1:7" x14ac:dyDescent="0.25">
      <c r="A445" t="s">
        <v>135</v>
      </c>
      <c r="B445">
        <v>269</v>
      </c>
      <c r="C445">
        <v>111</v>
      </c>
      <c r="D445">
        <v>3</v>
      </c>
      <c r="E445" t="s">
        <v>23</v>
      </c>
      <c r="F445" t="s">
        <v>24</v>
      </c>
      <c r="G445" t="s">
        <v>14</v>
      </c>
    </row>
    <row r="446" spans="1:7" x14ac:dyDescent="0.25">
      <c r="A446" t="s">
        <v>105</v>
      </c>
      <c r="B446">
        <v>209</v>
      </c>
      <c r="C446">
        <v>2</v>
      </c>
      <c r="D446">
        <v>1</v>
      </c>
      <c r="E446" t="s">
        <v>23</v>
      </c>
      <c r="F446" t="s">
        <v>26</v>
      </c>
      <c r="G446" t="s">
        <v>10</v>
      </c>
    </row>
    <row r="447" spans="1:7" x14ac:dyDescent="0.25">
      <c r="A447" t="s">
        <v>307</v>
      </c>
      <c r="B447">
        <v>60</v>
      </c>
      <c r="C447">
        <v>-12</v>
      </c>
      <c r="D447">
        <v>4</v>
      </c>
      <c r="E447" t="s">
        <v>23</v>
      </c>
      <c r="F447" t="s">
        <v>30</v>
      </c>
      <c r="G447" t="s">
        <v>82</v>
      </c>
    </row>
    <row r="448" spans="1:7" x14ac:dyDescent="0.25">
      <c r="A448" t="s">
        <v>205</v>
      </c>
      <c r="B448">
        <v>269</v>
      </c>
      <c r="C448">
        <v>-86</v>
      </c>
      <c r="D448">
        <v>2</v>
      </c>
      <c r="E448" t="s">
        <v>8</v>
      </c>
      <c r="F448" t="s">
        <v>9</v>
      </c>
      <c r="G448" t="s">
        <v>14</v>
      </c>
    </row>
    <row r="449" spans="1:7" x14ac:dyDescent="0.25">
      <c r="A449" t="s">
        <v>141</v>
      </c>
      <c r="B449">
        <v>208</v>
      </c>
      <c r="C449">
        <v>-25</v>
      </c>
      <c r="D449">
        <v>2</v>
      </c>
      <c r="E449" t="s">
        <v>23</v>
      </c>
      <c r="F449" t="s">
        <v>26</v>
      </c>
      <c r="G449" t="s">
        <v>10</v>
      </c>
    </row>
    <row r="450" spans="1:7" x14ac:dyDescent="0.25">
      <c r="A450" t="s">
        <v>199</v>
      </c>
      <c r="B450">
        <v>27</v>
      </c>
      <c r="C450">
        <v>2</v>
      </c>
      <c r="D450">
        <v>2</v>
      </c>
      <c r="E450" t="s">
        <v>23</v>
      </c>
      <c r="F450" t="s">
        <v>63</v>
      </c>
      <c r="G450" t="s">
        <v>28</v>
      </c>
    </row>
    <row r="451" spans="1:7" x14ac:dyDescent="0.25">
      <c r="A451" t="s">
        <v>308</v>
      </c>
      <c r="B451">
        <v>206</v>
      </c>
      <c r="C451">
        <v>-206</v>
      </c>
      <c r="D451">
        <v>3</v>
      </c>
      <c r="E451" t="s">
        <v>23</v>
      </c>
      <c r="F451" t="s">
        <v>26</v>
      </c>
      <c r="G451" t="s">
        <v>10</v>
      </c>
    </row>
    <row r="452" spans="1:7" x14ac:dyDescent="0.25">
      <c r="A452" t="s">
        <v>309</v>
      </c>
      <c r="B452">
        <v>61</v>
      </c>
      <c r="C452">
        <v>8</v>
      </c>
      <c r="D452">
        <v>4</v>
      </c>
      <c r="E452" t="s">
        <v>23</v>
      </c>
      <c r="F452" t="s">
        <v>30</v>
      </c>
      <c r="G452" t="s">
        <v>82</v>
      </c>
    </row>
    <row r="453" spans="1:7" x14ac:dyDescent="0.25">
      <c r="A453" t="s">
        <v>141</v>
      </c>
      <c r="B453">
        <v>212</v>
      </c>
      <c r="C453">
        <v>-24</v>
      </c>
      <c r="D453">
        <v>2</v>
      </c>
      <c r="E453" t="s">
        <v>12</v>
      </c>
      <c r="F453" t="s">
        <v>13</v>
      </c>
      <c r="G453" t="s">
        <v>10</v>
      </c>
    </row>
    <row r="454" spans="1:7" x14ac:dyDescent="0.25">
      <c r="A454" t="s">
        <v>250</v>
      </c>
      <c r="B454">
        <v>262</v>
      </c>
      <c r="C454">
        <v>64</v>
      </c>
      <c r="D454">
        <v>6</v>
      </c>
      <c r="E454" t="s">
        <v>23</v>
      </c>
      <c r="F454" t="s">
        <v>26</v>
      </c>
      <c r="G454" t="s">
        <v>14</v>
      </c>
    </row>
    <row r="455" spans="1:7" x14ac:dyDescent="0.25">
      <c r="A455" t="s">
        <v>36</v>
      </c>
      <c r="B455">
        <v>204</v>
      </c>
      <c r="C455">
        <v>276</v>
      </c>
      <c r="D455">
        <v>3</v>
      </c>
      <c r="E455" t="s">
        <v>12</v>
      </c>
      <c r="F455" t="s">
        <v>16</v>
      </c>
      <c r="G455" t="s">
        <v>10</v>
      </c>
    </row>
    <row r="456" spans="1:7" x14ac:dyDescent="0.25">
      <c r="A456" t="s">
        <v>97</v>
      </c>
      <c r="B456">
        <v>59</v>
      </c>
      <c r="C456">
        <v>-46</v>
      </c>
      <c r="D456">
        <v>7</v>
      </c>
      <c r="E456" t="s">
        <v>23</v>
      </c>
      <c r="F456" t="s">
        <v>81</v>
      </c>
      <c r="G456" t="s">
        <v>28</v>
      </c>
    </row>
    <row r="457" spans="1:7" x14ac:dyDescent="0.25">
      <c r="A457" t="s">
        <v>141</v>
      </c>
      <c r="B457">
        <v>199</v>
      </c>
      <c r="C457">
        <v>-18</v>
      </c>
      <c r="D457">
        <v>2</v>
      </c>
      <c r="E457" t="s">
        <v>23</v>
      </c>
      <c r="F457" t="s">
        <v>26</v>
      </c>
      <c r="G457" t="s">
        <v>10</v>
      </c>
    </row>
    <row r="458" spans="1:7" x14ac:dyDescent="0.25">
      <c r="A458" t="s">
        <v>310</v>
      </c>
      <c r="B458">
        <v>59</v>
      </c>
      <c r="C458">
        <v>6</v>
      </c>
      <c r="D458">
        <v>1</v>
      </c>
      <c r="E458" t="s">
        <v>8</v>
      </c>
      <c r="F458" t="s">
        <v>73</v>
      </c>
      <c r="G458" t="s">
        <v>28</v>
      </c>
    </row>
    <row r="459" spans="1:7" x14ac:dyDescent="0.25">
      <c r="A459" t="s">
        <v>243</v>
      </c>
      <c r="B459">
        <v>45</v>
      </c>
      <c r="C459">
        <v>9</v>
      </c>
      <c r="D459">
        <v>3</v>
      </c>
      <c r="E459" t="s">
        <v>23</v>
      </c>
      <c r="F459" t="s">
        <v>63</v>
      </c>
      <c r="G459" t="s">
        <v>28</v>
      </c>
    </row>
    <row r="460" spans="1:7" x14ac:dyDescent="0.25">
      <c r="A460" t="s">
        <v>104</v>
      </c>
      <c r="B460">
        <v>211</v>
      </c>
      <c r="C460">
        <v>19</v>
      </c>
      <c r="D460">
        <v>8</v>
      </c>
      <c r="E460" t="s">
        <v>23</v>
      </c>
      <c r="F460" t="s">
        <v>57</v>
      </c>
      <c r="G460" t="s">
        <v>10</v>
      </c>
    </row>
    <row r="461" spans="1:7" x14ac:dyDescent="0.25">
      <c r="A461" t="s">
        <v>182</v>
      </c>
      <c r="B461">
        <v>65</v>
      </c>
      <c r="C461">
        <v>-16</v>
      </c>
      <c r="D461">
        <v>2</v>
      </c>
      <c r="E461" t="s">
        <v>8</v>
      </c>
      <c r="F461" t="s">
        <v>21</v>
      </c>
      <c r="G461" t="s">
        <v>82</v>
      </c>
    </row>
    <row r="462" spans="1:7" x14ac:dyDescent="0.25">
      <c r="A462" t="s">
        <v>62</v>
      </c>
      <c r="B462">
        <v>25</v>
      </c>
      <c r="C462">
        <v>0</v>
      </c>
      <c r="D462">
        <v>4</v>
      </c>
      <c r="E462" t="s">
        <v>23</v>
      </c>
      <c r="F462" t="s">
        <v>43</v>
      </c>
      <c r="G462" t="s">
        <v>28</v>
      </c>
    </row>
    <row r="463" spans="1:7" x14ac:dyDescent="0.25">
      <c r="A463" t="s">
        <v>311</v>
      </c>
      <c r="B463">
        <v>196</v>
      </c>
      <c r="C463">
        <v>-7</v>
      </c>
      <c r="D463">
        <v>5</v>
      </c>
      <c r="E463" t="s">
        <v>8</v>
      </c>
      <c r="F463" t="s">
        <v>21</v>
      </c>
      <c r="G463" t="s">
        <v>10</v>
      </c>
    </row>
    <row r="464" spans="1:7" x14ac:dyDescent="0.25">
      <c r="A464" t="s">
        <v>46</v>
      </c>
      <c r="B464">
        <v>261</v>
      </c>
      <c r="C464">
        <v>13</v>
      </c>
      <c r="D464">
        <v>6</v>
      </c>
      <c r="E464" t="s">
        <v>23</v>
      </c>
      <c r="F464" t="s">
        <v>142</v>
      </c>
      <c r="G464" t="s">
        <v>19</v>
      </c>
    </row>
    <row r="465" spans="1:7" x14ac:dyDescent="0.25">
      <c r="A465" t="s">
        <v>117</v>
      </c>
      <c r="B465">
        <v>195</v>
      </c>
      <c r="C465">
        <v>-117</v>
      </c>
      <c r="D465">
        <v>5</v>
      </c>
      <c r="E465" t="s">
        <v>8</v>
      </c>
      <c r="F465" t="s">
        <v>21</v>
      </c>
      <c r="G465" t="s">
        <v>10</v>
      </c>
    </row>
    <row r="466" spans="1:7" x14ac:dyDescent="0.25">
      <c r="A466" t="s">
        <v>166</v>
      </c>
      <c r="B466">
        <v>192</v>
      </c>
      <c r="C466">
        <v>-146</v>
      </c>
      <c r="D466">
        <v>3</v>
      </c>
      <c r="E466" t="s">
        <v>23</v>
      </c>
      <c r="F466" t="s">
        <v>26</v>
      </c>
      <c r="G466" t="s">
        <v>10</v>
      </c>
    </row>
    <row r="467" spans="1:7" x14ac:dyDescent="0.25">
      <c r="A467" t="s">
        <v>312</v>
      </c>
      <c r="B467">
        <v>189</v>
      </c>
      <c r="C467">
        <v>87</v>
      </c>
      <c r="D467">
        <v>7</v>
      </c>
      <c r="E467" t="s">
        <v>23</v>
      </c>
      <c r="F467" t="s">
        <v>57</v>
      </c>
      <c r="G467" t="s">
        <v>10</v>
      </c>
    </row>
    <row r="468" spans="1:7" x14ac:dyDescent="0.25">
      <c r="A468" t="s">
        <v>157</v>
      </c>
      <c r="B468">
        <v>32</v>
      </c>
      <c r="C468">
        <v>2</v>
      </c>
      <c r="D468">
        <v>2</v>
      </c>
      <c r="E468" t="s">
        <v>23</v>
      </c>
      <c r="F468" t="s">
        <v>32</v>
      </c>
      <c r="G468" t="s">
        <v>28</v>
      </c>
    </row>
    <row r="469" spans="1:7" x14ac:dyDescent="0.25">
      <c r="A469" t="s">
        <v>69</v>
      </c>
      <c r="B469">
        <v>188</v>
      </c>
      <c r="C469">
        <v>13</v>
      </c>
      <c r="D469">
        <v>7</v>
      </c>
      <c r="E469" t="s">
        <v>23</v>
      </c>
      <c r="F469" t="s">
        <v>142</v>
      </c>
      <c r="G469" t="s">
        <v>10</v>
      </c>
    </row>
    <row r="470" spans="1:7" x14ac:dyDescent="0.25">
      <c r="A470" t="s">
        <v>313</v>
      </c>
      <c r="B470">
        <v>73</v>
      </c>
      <c r="C470">
        <v>-25</v>
      </c>
      <c r="D470">
        <v>3</v>
      </c>
      <c r="E470" t="s">
        <v>23</v>
      </c>
      <c r="F470" t="s">
        <v>26</v>
      </c>
      <c r="G470" t="s">
        <v>10</v>
      </c>
    </row>
    <row r="471" spans="1:7" x14ac:dyDescent="0.25">
      <c r="A471" t="s">
        <v>44</v>
      </c>
      <c r="B471">
        <v>259</v>
      </c>
      <c r="C471">
        <v>47</v>
      </c>
      <c r="D471">
        <v>5</v>
      </c>
      <c r="E471" t="s">
        <v>23</v>
      </c>
      <c r="F471" t="s">
        <v>30</v>
      </c>
      <c r="G471" t="s">
        <v>19</v>
      </c>
    </row>
    <row r="472" spans="1:7" x14ac:dyDescent="0.25">
      <c r="A472" t="s">
        <v>314</v>
      </c>
      <c r="B472">
        <v>187</v>
      </c>
      <c r="C472">
        <v>-15</v>
      </c>
      <c r="D472">
        <v>3</v>
      </c>
      <c r="E472" t="s">
        <v>23</v>
      </c>
      <c r="F472" t="s">
        <v>24</v>
      </c>
      <c r="G472" t="s">
        <v>10</v>
      </c>
    </row>
    <row r="473" spans="1:7" x14ac:dyDescent="0.25">
      <c r="A473" t="s">
        <v>41</v>
      </c>
      <c r="B473">
        <v>26</v>
      </c>
      <c r="C473">
        <v>11</v>
      </c>
      <c r="D473">
        <v>2</v>
      </c>
      <c r="E473" t="s">
        <v>23</v>
      </c>
      <c r="F473" t="s">
        <v>30</v>
      </c>
      <c r="G473" t="s">
        <v>28</v>
      </c>
    </row>
    <row r="474" spans="1:7" x14ac:dyDescent="0.25">
      <c r="A474" t="s">
        <v>61</v>
      </c>
      <c r="B474">
        <v>185</v>
      </c>
      <c r="C474">
        <v>-26</v>
      </c>
      <c r="D474">
        <v>6</v>
      </c>
      <c r="E474" t="s">
        <v>12</v>
      </c>
      <c r="F474" t="s">
        <v>13</v>
      </c>
      <c r="G474" t="s">
        <v>10</v>
      </c>
    </row>
    <row r="475" spans="1:7" x14ac:dyDescent="0.25">
      <c r="A475" t="s">
        <v>315</v>
      </c>
      <c r="B475">
        <v>248</v>
      </c>
      <c r="C475">
        <v>8</v>
      </c>
      <c r="D475">
        <v>2</v>
      </c>
      <c r="E475" t="s">
        <v>23</v>
      </c>
      <c r="F475" t="s">
        <v>26</v>
      </c>
      <c r="G475" t="s">
        <v>19</v>
      </c>
    </row>
    <row r="476" spans="1:7" x14ac:dyDescent="0.25">
      <c r="A476" t="s">
        <v>316</v>
      </c>
      <c r="B476">
        <v>67</v>
      </c>
      <c r="C476">
        <v>9</v>
      </c>
      <c r="D476">
        <v>4</v>
      </c>
      <c r="E476" t="s">
        <v>23</v>
      </c>
      <c r="F476" t="s">
        <v>63</v>
      </c>
      <c r="G476" t="s">
        <v>82</v>
      </c>
    </row>
    <row r="477" spans="1:7" x14ac:dyDescent="0.25">
      <c r="A477" t="s">
        <v>289</v>
      </c>
      <c r="B477">
        <v>248</v>
      </c>
      <c r="C477">
        <v>-70</v>
      </c>
      <c r="D477">
        <v>3</v>
      </c>
      <c r="E477" t="s">
        <v>12</v>
      </c>
      <c r="F477" t="s">
        <v>13</v>
      </c>
      <c r="G477" t="s">
        <v>19</v>
      </c>
    </row>
    <row r="478" spans="1:7" x14ac:dyDescent="0.25">
      <c r="A478" t="s">
        <v>250</v>
      </c>
      <c r="B478">
        <v>246</v>
      </c>
      <c r="C478">
        <v>61</v>
      </c>
      <c r="D478">
        <v>2</v>
      </c>
      <c r="E478" t="s">
        <v>12</v>
      </c>
      <c r="F478" t="s">
        <v>16</v>
      </c>
      <c r="G478" t="s">
        <v>19</v>
      </c>
    </row>
    <row r="479" spans="1:7" x14ac:dyDescent="0.25">
      <c r="A479" t="s">
        <v>317</v>
      </c>
      <c r="B479">
        <v>179</v>
      </c>
      <c r="C479">
        <v>-25</v>
      </c>
      <c r="D479">
        <v>5</v>
      </c>
      <c r="E479" t="s">
        <v>23</v>
      </c>
      <c r="F479" t="s">
        <v>32</v>
      </c>
      <c r="G479" t="s">
        <v>10</v>
      </c>
    </row>
    <row r="480" spans="1:7" x14ac:dyDescent="0.25">
      <c r="A480" t="s">
        <v>318</v>
      </c>
      <c r="B480">
        <v>176</v>
      </c>
      <c r="C480">
        <v>-28</v>
      </c>
      <c r="D480">
        <v>5</v>
      </c>
      <c r="E480" t="s">
        <v>12</v>
      </c>
      <c r="F480" t="s">
        <v>131</v>
      </c>
      <c r="G480" t="s">
        <v>10</v>
      </c>
    </row>
    <row r="481" spans="1:7" x14ac:dyDescent="0.25">
      <c r="A481" t="s">
        <v>299</v>
      </c>
      <c r="B481">
        <v>176</v>
      </c>
      <c r="C481">
        <v>-13</v>
      </c>
      <c r="D481">
        <v>5</v>
      </c>
      <c r="E481" t="s">
        <v>12</v>
      </c>
      <c r="F481" t="s">
        <v>131</v>
      </c>
      <c r="G481" t="s">
        <v>10</v>
      </c>
    </row>
    <row r="482" spans="1:7" x14ac:dyDescent="0.25">
      <c r="A482" t="s">
        <v>78</v>
      </c>
      <c r="B482">
        <v>68</v>
      </c>
      <c r="C482">
        <v>-62</v>
      </c>
      <c r="D482">
        <v>2</v>
      </c>
      <c r="E482" t="s">
        <v>23</v>
      </c>
      <c r="F482" t="s">
        <v>24</v>
      </c>
      <c r="G482" t="s">
        <v>82</v>
      </c>
    </row>
    <row r="483" spans="1:7" x14ac:dyDescent="0.25">
      <c r="A483" t="s">
        <v>319</v>
      </c>
      <c r="B483">
        <v>176</v>
      </c>
      <c r="C483">
        <v>37</v>
      </c>
      <c r="D483">
        <v>6</v>
      </c>
      <c r="E483" t="s">
        <v>8</v>
      </c>
      <c r="F483" t="s">
        <v>73</v>
      </c>
      <c r="G483" t="s">
        <v>10</v>
      </c>
    </row>
    <row r="484" spans="1:7" x14ac:dyDescent="0.25">
      <c r="A484" t="s">
        <v>248</v>
      </c>
      <c r="B484">
        <v>88</v>
      </c>
      <c r="C484">
        <v>11</v>
      </c>
      <c r="D484">
        <v>7</v>
      </c>
      <c r="E484" t="s">
        <v>23</v>
      </c>
      <c r="F484" t="s">
        <v>30</v>
      </c>
      <c r="G484" t="s">
        <v>28</v>
      </c>
    </row>
    <row r="485" spans="1:7" x14ac:dyDescent="0.25">
      <c r="A485" t="s">
        <v>320</v>
      </c>
      <c r="B485">
        <v>68</v>
      </c>
      <c r="C485">
        <v>20</v>
      </c>
      <c r="D485">
        <v>5</v>
      </c>
      <c r="E485" t="s">
        <v>23</v>
      </c>
      <c r="F485" t="s">
        <v>30</v>
      </c>
      <c r="G485" t="s">
        <v>82</v>
      </c>
    </row>
    <row r="486" spans="1:7" x14ac:dyDescent="0.25">
      <c r="A486" t="s">
        <v>321</v>
      </c>
      <c r="B486">
        <v>231</v>
      </c>
      <c r="C486">
        <v>99</v>
      </c>
      <c r="D486">
        <v>2</v>
      </c>
      <c r="E486" t="s">
        <v>8</v>
      </c>
      <c r="F486" t="s">
        <v>9</v>
      </c>
      <c r="G486" t="s">
        <v>19</v>
      </c>
    </row>
    <row r="487" spans="1:7" x14ac:dyDescent="0.25">
      <c r="A487" t="s">
        <v>264</v>
      </c>
      <c r="B487">
        <v>62</v>
      </c>
      <c r="C487">
        <v>8</v>
      </c>
      <c r="D487">
        <v>2</v>
      </c>
      <c r="E487" t="s">
        <v>23</v>
      </c>
      <c r="F487" t="s">
        <v>81</v>
      </c>
      <c r="G487" t="s">
        <v>28</v>
      </c>
    </row>
    <row r="488" spans="1:7" x14ac:dyDescent="0.25">
      <c r="A488" t="s">
        <v>222</v>
      </c>
      <c r="B488">
        <v>175</v>
      </c>
      <c r="C488">
        <v>77</v>
      </c>
      <c r="D488">
        <v>3</v>
      </c>
      <c r="E488" t="s">
        <v>23</v>
      </c>
      <c r="F488" t="s">
        <v>26</v>
      </c>
      <c r="G488" t="s">
        <v>10</v>
      </c>
    </row>
    <row r="489" spans="1:7" x14ac:dyDescent="0.25">
      <c r="A489" t="s">
        <v>130</v>
      </c>
      <c r="B489">
        <v>71</v>
      </c>
      <c r="C489">
        <v>4</v>
      </c>
      <c r="D489">
        <v>5</v>
      </c>
      <c r="E489" t="s">
        <v>23</v>
      </c>
      <c r="F489" t="s">
        <v>63</v>
      </c>
      <c r="G489" t="s">
        <v>82</v>
      </c>
    </row>
    <row r="490" spans="1:7" x14ac:dyDescent="0.25">
      <c r="A490" t="s">
        <v>308</v>
      </c>
      <c r="B490">
        <v>174</v>
      </c>
      <c r="C490">
        <v>-70</v>
      </c>
      <c r="D490">
        <v>3</v>
      </c>
      <c r="E490" t="s">
        <v>8</v>
      </c>
      <c r="F490" t="s">
        <v>73</v>
      </c>
      <c r="G490" t="s">
        <v>10</v>
      </c>
    </row>
    <row r="491" spans="1:7" x14ac:dyDescent="0.25">
      <c r="A491" t="s">
        <v>133</v>
      </c>
      <c r="B491">
        <v>173</v>
      </c>
      <c r="C491">
        <v>69</v>
      </c>
      <c r="D491">
        <v>3</v>
      </c>
      <c r="E491" t="s">
        <v>12</v>
      </c>
      <c r="F491" t="s">
        <v>13</v>
      </c>
      <c r="G491" t="s">
        <v>10</v>
      </c>
    </row>
    <row r="492" spans="1:7" x14ac:dyDescent="0.25">
      <c r="A492" t="s">
        <v>115</v>
      </c>
      <c r="B492">
        <v>171</v>
      </c>
      <c r="C492">
        <v>2</v>
      </c>
      <c r="D492">
        <v>2</v>
      </c>
      <c r="E492" t="s">
        <v>8</v>
      </c>
      <c r="F492" t="s">
        <v>9</v>
      </c>
      <c r="G492" t="s">
        <v>10</v>
      </c>
    </row>
    <row r="493" spans="1:7" x14ac:dyDescent="0.25">
      <c r="A493" t="s">
        <v>166</v>
      </c>
      <c r="B493">
        <v>268</v>
      </c>
      <c r="C493">
        <v>-25</v>
      </c>
      <c r="D493">
        <v>3</v>
      </c>
      <c r="E493" t="s">
        <v>23</v>
      </c>
      <c r="F493" t="s">
        <v>26</v>
      </c>
      <c r="G493" t="s">
        <v>10</v>
      </c>
    </row>
    <row r="494" spans="1:7" x14ac:dyDescent="0.25">
      <c r="A494" t="s">
        <v>322</v>
      </c>
      <c r="B494">
        <v>71</v>
      </c>
      <c r="C494">
        <v>32</v>
      </c>
      <c r="D494">
        <v>3</v>
      </c>
      <c r="E494" t="s">
        <v>23</v>
      </c>
      <c r="F494" t="s">
        <v>26</v>
      </c>
      <c r="G494" t="s">
        <v>82</v>
      </c>
    </row>
    <row r="495" spans="1:7" x14ac:dyDescent="0.25">
      <c r="A495" t="s">
        <v>323</v>
      </c>
      <c r="B495">
        <v>29</v>
      </c>
      <c r="C495">
        <v>10</v>
      </c>
      <c r="D495">
        <v>4</v>
      </c>
      <c r="E495" t="s">
        <v>23</v>
      </c>
      <c r="F495" t="s">
        <v>30</v>
      </c>
      <c r="G495" t="s">
        <v>28</v>
      </c>
    </row>
    <row r="496" spans="1:7" x14ac:dyDescent="0.25">
      <c r="A496" t="s">
        <v>324</v>
      </c>
      <c r="B496">
        <v>65</v>
      </c>
      <c r="C496">
        <v>17</v>
      </c>
      <c r="D496">
        <v>2</v>
      </c>
      <c r="E496" t="s">
        <v>23</v>
      </c>
      <c r="F496" t="s">
        <v>81</v>
      </c>
      <c r="G496" t="s">
        <v>28</v>
      </c>
    </row>
    <row r="497" spans="1:7" x14ac:dyDescent="0.25">
      <c r="A497" t="s">
        <v>54</v>
      </c>
      <c r="B497">
        <v>72</v>
      </c>
      <c r="C497">
        <v>-46</v>
      </c>
      <c r="D497">
        <v>7</v>
      </c>
      <c r="E497" t="s">
        <v>23</v>
      </c>
      <c r="F497" t="s">
        <v>32</v>
      </c>
      <c r="G497" t="s">
        <v>82</v>
      </c>
    </row>
    <row r="498" spans="1:7" x14ac:dyDescent="0.25">
      <c r="A498" t="s">
        <v>325</v>
      </c>
      <c r="B498">
        <v>168</v>
      </c>
      <c r="C498">
        <v>-51</v>
      </c>
      <c r="D498">
        <v>2</v>
      </c>
      <c r="E498" t="s">
        <v>12</v>
      </c>
      <c r="F498" t="s">
        <v>16</v>
      </c>
      <c r="G498" t="s">
        <v>10</v>
      </c>
    </row>
    <row r="499" spans="1:7" x14ac:dyDescent="0.25">
      <c r="A499" t="s">
        <v>104</v>
      </c>
      <c r="B499">
        <v>165</v>
      </c>
      <c r="C499">
        <v>30</v>
      </c>
      <c r="D499">
        <v>3</v>
      </c>
      <c r="E499" t="s">
        <v>23</v>
      </c>
      <c r="F499" t="s">
        <v>57</v>
      </c>
      <c r="G499" t="s">
        <v>10</v>
      </c>
    </row>
    <row r="500" spans="1:7" x14ac:dyDescent="0.25">
      <c r="A500" t="s">
        <v>284</v>
      </c>
      <c r="B500">
        <v>74</v>
      </c>
      <c r="C500">
        <v>-59</v>
      </c>
      <c r="D500">
        <v>2</v>
      </c>
      <c r="E500" t="s">
        <v>8</v>
      </c>
      <c r="F500" t="s">
        <v>73</v>
      </c>
      <c r="G500" t="s">
        <v>82</v>
      </c>
    </row>
    <row r="501" spans="1:7" x14ac:dyDescent="0.25">
      <c r="A501" t="s">
        <v>184</v>
      </c>
      <c r="B501">
        <v>89</v>
      </c>
      <c r="C501">
        <v>17</v>
      </c>
      <c r="D501">
        <v>2</v>
      </c>
      <c r="E501" t="s">
        <v>23</v>
      </c>
      <c r="F501" t="s">
        <v>57</v>
      </c>
      <c r="G501" t="s">
        <v>28</v>
      </c>
    </row>
    <row r="502" spans="1:7" x14ac:dyDescent="0.25">
      <c r="A502" t="s">
        <v>239</v>
      </c>
      <c r="B502">
        <v>228</v>
      </c>
      <c r="C502">
        <v>63</v>
      </c>
      <c r="D502">
        <v>3</v>
      </c>
      <c r="E502" t="s">
        <v>8</v>
      </c>
      <c r="F502" t="s">
        <v>9</v>
      </c>
      <c r="G502" t="s">
        <v>19</v>
      </c>
    </row>
    <row r="503" spans="1:7" x14ac:dyDescent="0.25">
      <c r="A503" t="s">
        <v>94</v>
      </c>
      <c r="B503">
        <v>119</v>
      </c>
      <c r="C503">
        <v>-24</v>
      </c>
      <c r="D503">
        <v>4</v>
      </c>
      <c r="E503" t="s">
        <v>12</v>
      </c>
      <c r="F503" t="s">
        <v>131</v>
      </c>
      <c r="G503" t="s">
        <v>10</v>
      </c>
    </row>
    <row r="504" spans="1:7" x14ac:dyDescent="0.25">
      <c r="A504" t="s">
        <v>150</v>
      </c>
      <c r="B504">
        <v>75</v>
      </c>
      <c r="C504">
        <v>-25</v>
      </c>
      <c r="D504">
        <v>3</v>
      </c>
      <c r="E504" t="s">
        <v>23</v>
      </c>
      <c r="F504" t="s">
        <v>57</v>
      </c>
      <c r="G504" t="s">
        <v>28</v>
      </c>
    </row>
    <row r="505" spans="1:7" x14ac:dyDescent="0.25">
      <c r="A505" t="s">
        <v>132</v>
      </c>
      <c r="B505">
        <v>67</v>
      </c>
      <c r="C505">
        <v>20</v>
      </c>
      <c r="D505">
        <v>4</v>
      </c>
      <c r="E505" t="s">
        <v>23</v>
      </c>
      <c r="F505" t="s">
        <v>81</v>
      </c>
      <c r="G505" t="s">
        <v>28</v>
      </c>
    </row>
    <row r="506" spans="1:7" x14ac:dyDescent="0.25">
      <c r="A506" t="s">
        <v>119</v>
      </c>
      <c r="B506">
        <v>7</v>
      </c>
      <c r="C506">
        <v>0</v>
      </c>
      <c r="D506">
        <v>1</v>
      </c>
      <c r="E506" t="s">
        <v>23</v>
      </c>
      <c r="F506" t="s">
        <v>63</v>
      </c>
      <c r="G506" t="s">
        <v>10</v>
      </c>
    </row>
    <row r="507" spans="1:7" x14ac:dyDescent="0.25">
      <c r="A507" t="s">
        <v>180</v>
      </c>
      <c r="B507">
        <v>222</v>
      </c>
      <c r="C507">
        <v>35</v>
      </c>
      <c r="D507">
        <v>5</v>
      </c>
      <c r="E507" t="s">
        <v>23</v>
      </c>
      <c r="F507" t="s">
        <v>26</v>
      </c>
      <c r="G507" t="s">
        <v>19</v>
      </c>
    </row>
    <row r="508" spans="1:7" x14ac:dyDescent="0.25">
      <c r="A508" t="s">
        <v>236</v>
      </c>
      <c r="B508">
        <v>219</v>
      </c>
      <c r="C508">
        <v>-9</v>
      </c>
      <c r="D508">
        <v>4</v>
      </c>
      <c r="E508" t="s">
        <v>23</v>
      </c>
      <c r="F508" t="s">
        <v>26</v>
      </c>
      <c r="G508" t="s">
        <v>19</v>
      </c>
    </row>
    <row r="509" spans="1:7" x14ac:dyDescent="0.25">
      <c r="A509" t="s">
        <v>33</v>
      </c>
      <c r="B509">
        <v>42</v>
      </c>
      <c r="C509">
        <v>-23</v>
      </c>
      <c r="D509">
        <v>2</v>
      </c>
      <c r="E509" t="s">
        <v>12</v>
      </c>
      <c r="F509" t="s">
        <v>131</v>
      </c>
      <c r="G509" t="s">
        <v>28</v>
      </c>
    </row>
    <row r="510" spans="1:7" x14ac:dyDescent="0.25">
      <c r="A510" t="s">
        <v>96</v>
      </c>
      <c r="B510">
        <v>216</v>
      </c>
      <c r="C510">
        <v>-135</v>
      </c>
      <c r="D510">
        <v>3</v>
      </c>
      <c r="E510" t="s">
        <v>12</v>
      </c>
      <c r="F510" t="s">
        <v>13</v>
      </c>
      <c r="G510" t="s">
        <v>19</v>
      </c>
    </row>
    <row r="511" spans="1:7" x14ac:dyDescent="0.25">
      <c r="A511" t="s">
        <v>326</v>
      </c>
      <c r="B511">
        <v>47</v>
      </c>
      <c r="C511">
        <v>-21</v>
      </c>
      <c r="D511">
        <v>2</v>
      </c>
      <c r="E511" t="s">
        <v>8</v>
      </c>
      <c r="F511" t="s">
        <v>9</v>
      </c>
      <c r="G511" t="s">
        <v>10</v>
      </c>
    </row>
    <row r="512" spans="1:7" x14ac:dyDescent="0.25">
      <c r="A512" t="s">
        <v>265</v>
      </c>
      <c r="B512">
        <v>68</v>
      </c>
      <c r="C512">
        <v>-55</v>
      </c>
      <c r="D512">
        <v>5</v>
      </c>
      <c r="E512" t="s">
        <v>8</v>
      </c>
      <c r="F512" t="s">
        <v>73</v>
      </c>
      <c r="G512" t="s">
        <v>28</v>
      </c>
    </row>
    <row r="513" spans="1:7" x14ac:dyDescent="0.25">
      <c r="A513" t="s">
        <v>134</v>
      </c>
      <c r="B513">
        <v>74</v>
      </c>
      <c r="C513">
        <v>33</v>
      </c>
      <c r="D513">
        <v>2</v>
      </c>
      <c r="E513" t="s">
        <v>23</v>
      </c>
      <c r="F513" t="s">
        <v>142</v>
      </c>
      <c r="G513" t="s">
        <v>82</v>
      </c>
    </row>
    <row r="514" spans="1:7" x14ac:dyDescent="0.25">
      <c r="A514" t="s">
        <v>140</v>
      </c>
      <c r="B514">
        <v>165</v>
      </c>
      <c r="C514">
        <v>46</v>
      </c>
      <c r="D514">
        <v>3</v>
      </c>
      <c r="E514" t="s">
        <v>12</v>
      </c>
      <c r="F514" t="s">
        <v>131</v>
      </c>
      <c r="G514" t="s">
        <v>10</v>
      </c>
    </row>
    <row r="515" spans="1:7" x14ac:dyDescent="0.25">
      <c r="A515" t="s">
        <v>211</v>
      </c>
      <c r="B515">
        <v>101</v>
      </c>
      <c r="C515">
        <v>11</v>
      </c>
      <c r="D515">
        <v>2</v>
      </c>
      <c r="E515" t="s">
        <v>23</v>
      </c>
      <c r="F515" t="s">
        <v>30</v>
      </c>
      <c r="G515" t="s">
        <v>28</v>
      </c>
    </row>
    <row r="516" spans="1:7" x14ac:dyDescent="0.25">
      <c r="A516" t="s">
        <v>327</v>
      </c>
      <c r="B516">
        <v>162</v>
      </c>
      <c r="C516">
        <v>73</v>
      </c>
      <c r="D516">
        <v>2</v>
      </c>
      <c r="E516" t="s">
        <v>8</v>
      </c>
      <c r="F516" t="s">
        <v>9</v>
      </c>
      <c r="G516" t="s">
        <v>10</v>
      </c>
    </row>
    <row r="517" spans="1:7" x14ac:dyDescent="0.25">
      <c r="A517" t="s">
        <v>279</v>
      </c>
      <c r="B517">
        <v>20</v>
      </c>
      <c r="C517">
        <v>-22</v>
      </c>
      <c r="D517">
        <v>1</v>
      </c>
      <c r="E517" t="s">
        <v>12</v>
      </c>
      <c r="F517" t="s">
        <v>131</v>
      </c>
      <c r="G517" t="s">
        <v>28</v>
      </c>
    </row>
    <row r="518" spans="1:7" x14ac:dyDescent="0.25">
      <c r="A518" t="s">
        <v>167</v>
      </c>
      <c r="B518">
        <v>162</v>
      </c>
      <c r="C518">
        <v>55</v>
      </c>
      <c r="D518">
        <v>3</v>
      </c>
      <c r="E518" t="s">
        <v>23</v>
      </c>
      <c r="F518" t="s">
        <v>57</v>
      </c>
      <c r="G518" t="s">
        <v>10</v>
      </c>
    </row>
    <row r="519" spans="1:7" x14ac:dyDescent="0.25">
      <c r="A519" t="s">
        <v>205</v>
      </c>
      <c r="B519">
        <v>229</v>
      </c>
      <c r="C519">
        <v>-23</v>
      </c>
      <c r="D519">
        <v>2</v>
      </c>
      <c r="E519" t="s">
        <v>23</v>
      </c>
      <c r="F519" t="s">
        <v>26</v>
      </c>
      <c r="G519" t="s">
        <v>28</v>
      </c>
    </row>
    <row r="520" spans="1:7" x14ac:dyDescent="0.25">
      <c r="A520" t="s">
        <v>328</v>
      </c>
      <c r="B520">
        <v>27</v>
      </c>
      <c r="C520">
        <v>0</v>
      </c>
      <c r="D520">
        <v>2</v>
      </c>
      <c r="E520" t="s">
        <v>23</v>
      </c>
      <c r="F520" t="s">
        <v>63</v>
      </c>
      <c r="G520" t="s">
        <v>10</v>
      </c>
    </row>
    <row r="521" spans="1:7" x14ac:dyDescent="0.25">
      <c r="A521" t="s">
        <v>44</v>
      </c>
      <c r="B521">
        <v>685</v>
      </c>
      <c r="C521">
        <v>7</v>
      </c>
      <c r="D521">
        <v>7</v>
      </c>
      <c r="E521" t="s">
        <v>23</v>
      </c>
      <c r="F521" t="s">
        <v>24</v>
      </c>
      <c r="G521" t="s">
        <v>28</v>
      </c>
    </row>
    <row r="522" spans="1:7" x14ac:dyDescent="0.25">
      <c r="A522" t="s">
        <v>228</v>
      </c>
      <c r="B522">
        <v>75</v>
      </c>
      <c r="C522">
        <v>2</v>
      </c>
      <c r="D522">
        <v>5</v>
      </c>
      <c r="E522" t="s">
        <v>23</v>
      </c>
      <c r="F522" t="s">
        <v>63</v>
      </c>
      <c r="G522" t="s">
        <v>82</v>
      </c>
    </row>
    <row r="523" spans="1:7" x14ac:dyDescent="0.25">
      <c r="A523" t="s">
        <v>223</v>
      </c>
      <c r="B523">
        <v>161</v>
      </c>
      <c r="C523">
        <v>-229</v>
      </c>
      <c r="D523">
        <v>8</v>
      </c>
      <c r="E523" t="s">
        <v>12</v>
      </c>
      <c r="F523" t="s">
        <v>131</v>
      </c>
      <c r="G523" t="s">
        <v>10</v>
      </c>
    </row>
    <row r="524" spans="1:7" x14ac:dyDescent="0.25">
      <c r="A524" t="s">
        <v>301</v>
      </c>
      <c r="B524">
        <v>71</v>
      </c>
      <c r="C524">
        <v>19</v>
      </c>
      <c r="D524">
        <v>3</v>
      </c>
      <c r="E524" t="s">
        <v>23</v>
      </c>
      <c r="F524" t="s">
        <v>81</v>
      </c>
      <c r="G524" t="s">
        <v>10</v>
      </c>
    </row>
    <row r="525" spans="1:7" x14ac:dyDescent="0.25">
      <c r="A525" t="s">
        <v>135</v>
      </c>
      <c r="B525">
        <v>211</v>
      </c>
      <c r="C525">
        <v>-105</v>
      </c>
      <c r="D525">
        <v>2</v>
      </c>
      <c r="E525" t="s">
        <v>23</v>
      </c>
      <c r="F525" t="s">
        <v>26</v>
      </c>
      <c r="G525" t="s">
        <v>19</v>
      </c>
    </row>
    <row r="526" spans="1:7" x14ac:dyDescent="0.25">
      <c r="A526" t="s">
        <v>329</v>
      </c>
      <c r="B526">
        <v>79</v>
      </c>
      <c r="C526">
        <v>5</v>
      </c>
      <c r="D526">
        <v>6</v>
      </c>
      <c r="E526" t="s">
        <v>23</v>
      </c>
      <c r="F526" t="s">
        <v>30</v>
      </c>
      <c r="G526" t="s">
        <v>82</v>
      </c>
    </row>
    <row r="527" spans="1:7" x14ac:dyDescent="0.25">
      <c r="A527" t="s">
        <v>143</v>
      </c>
      <c r="B527">
        <v>32</v>
      </c>
      <c r="C527">
        <v>-22</v>
      </c>
      <c r="D527">
        <v>5</v>
      </c>
      <c r="E527" t="s">
        <v>23</v>
      </c>
      <c r="F527" t="s">
        <v>26</v>
      </c>
      <c r="G527" t="s">
        <v>28</v>
      </c>
    </row>
    <row r="528" spans="1:7" x14ac:dyDescent="0.25">
      <c r="A528" t="s">
        <v>330</v>
      </c>
      <c r="B528">
        <v>161</v>
      </c>
      <c r="C528">
        <v>40</v>
      </c>
      <c r="D528">
        <v>3</v>
      </c>
      <c r="E528" t="s">
        <v>23</v>
      </c>
      <c r="F528" t="s">
        <v>57</v>
      </c>
      <c r="G528" t="s">
        <v>10</v>
      </c>
    </row>
    <row r="529" spans="1:7" x14ac:dyDescent="0.25">
      <c r="A529" t="s">
        <v>119</v>
      </c>
      <c r="B529">
        <v>159</v>
      </c>
      <c r="C529">
        <v>4</v>
      </c>
      <c r="D529">
        <v>1</v>
      </c>
      <c r="E529" t="s">
        <v>23</v>
      </c>
      <c r="F529" t="s">
        <v>26</v>
      </c>
      <c r="G529" t="s">
        <v>10</v>
      </c>
    </row>
    <row r="530" spans="1:7" x14ac:dyDescent="0.25">
      <c r="A530" t="s">
        <v>145</v>
      </c>
      <c r="B530">
        <v>210</v>
      </c>
      <c r="C530">
        <v>-50</v>
      </c>
      <c r="D530">
        <v>4</v>
      </c>
      <c r="E530" t="s">
        <v>23</v>
      </c>
      <c r="F530" t="s">
        <v>30</v>
      </c>
      <c r="G530" t="s">
        <v>19</v>
      </c>
    </row>
    <row r="531" spans="1:7" x14ac:dyDescent="0.25">
      <c r="A531" t="s">
        <v>225</v>
      </c>
      <c r="B531">
        <v>79</v>
      </c>
      <c r="C531">
        <v>39</v>
      </c>
      <c r="D531">
        <v>2</v>
      </c>
      <c r="E531" t="s">
        <v>23</v>
      </c>
      <c r="F531" t="s">
        <v>142</v>
      </c>
      <c r="G531" t="s">
        <v>82</v>
      </c>
    </row>
    <row r="532" spans="1:7" x14ac:dyDescent="0.25">
      <c r="A532" t="s">
        <v>182</v>
      </c>
      <c r="B532">
        <v>207</v>
      </c>
      <c r="C532">
        <v>153</v>
      </c>
      <c r="D532">
        <v>3</v>
      </c>
      <c r="E532" t="s">
        <v>23</v>
      </c>
      <c r="F532" t="s">
        <v>26</v>
      </c>
      <c r="G532" t="s">
        <v>19</v>
      </c>
    </row>
    <row r="533" spans="1:7" x14ac:dyDescent="0.25">
      <c r="A533" t="s">
        <v>198</v>
      </c>
      <c r="B533">
        <v>36</v>
      </c>
      <c r="C533">
        <v>0</v>
      </c>
      <c r="D533">
        <v>4</v>
      </c>
      <c r="E533" t="s">
        <v>23</v>
      </c>
      <c r="F533" t="s">
        <v>32</v>
      </c>
      <c r="G533" t="s">
        <v>10</v>
      </c>
    </row>
    <row r="534" spans="1:7" x14ac:dyDescent="0.25">
      <c r="A534" t="s">
        <v>106</v>
      </c>
      <c r="B534">
        <v>206</v>
      </c>
      <c r="C534">
        <v>12</v>
      </c>
      <c r="D534">
        <v>1</v>
      </c>
      <c r="E534" t="s">
        <v>8</v>
      </c>
      <c r="F534" t="s">
        <v>18</v>
      </c>
      <c r="G534" t="s">
        <v>19</v>
      </c>
    </row>
    <row r="535" spans="1:7" x14ac:dyDescent="0.25">
      <c r="A535" t="s">
        <v>140</v>
      </c>
      <c r="B535">
        <v>46</v>
      </c>
      <c r="C535">
        <v>0</v>
      </c>
      <c r="D535">
        <v>4</v>
      </c>
      <c r="E535" t="s">
        <v>23</v>
      </c>
      <c r="F535" t="s">
        <v>63</v>
      </c>
      <c r="G535" t="s">
        <v>10</v>
      </c>
    </row>
    <row r="536" spans="1:7" x14ac:dyDescent="0.25">
      <c r="A536" t="s">
        <v>273</v>
      </c>
      <c r="B536">
        <v>156</v>
      </c>
      <c r="C536">
        <v>23</v>
      </c>
      <c r="D536">
        <v>3</v>
      </c>
      <c r="E536" t="s">
        <v>23</v>
      </c>
      <c r="F536" t="s">
        <v>57</v>
      </c>
      <c r="G536" t="s">
        <v>10</v>
      </c>
    </row>
    <row r="537" spans="1:7" x14ac:dyDescent="0.25">
      <c r="A537" t="s">
        <v>286</v>
      </c>
      <c r="B537">
        <v>154</v>
      </c>
      <c r="C537">
        <v>54</v>
      </c>
      <c r="D537">
        <v>3</v>
      </c>
      <c r="E537" t="s">
        <v>23</v>
      </c>
      <c r="F537" t="s">
        <v>30</v>
      </c>
      <c r="G537" t="s">
        <v>10</v>
      </c>
    </row>
    <row r="538" spans="1:7" x14ac:dyDescent="0.25">
      <c r="A538" t="s">
        <v>331</v>
      </c>
      <c r="B538">
        <v>36</v>
      </c>
      <c r="C538">
        <v>15</v>
      </c>
      <c r="D538">
        <v>3</v>
      </c>
      <c r="E538" t="s">
        <v>23</v>
      </c>
      <c r="F538" t="s">
        <v>57</v>
      </c>
      <c r="G538" t="s">
        <v>28</v>
      </c>
    </row>
    <row r="539" spans="1:7" x14ac:dyDescent="0.25">
      <c r="A539" t="s">
        <v>332</v>
      </c>
      <c r="B539">
        <v>206</v>
      </c>
      <c r="C539">
        <v>51</v>
      </c>
      <c r="D539">
        <v>4</v>
      </c>
      <c r="E539" t="s">
        <v>23</v>
      </c>
      <c r="F539" t="s">
        <v>30</v>
      </c>
      <c r="G539" t="s">
        <v>19</v>
      </c>
    </row>
    <row r="540" spans="1:7" x14ac:dyDescent="0.25">
      <c r="A540" t="s">
        <v>333</v>
      </c>
      <c r="B540">
        <v>200</v>
      </c>
      <c r="C540">
        <v>7</v>
      </c>
      <c r="D540">
        <v>4</v>
      </c>
      <c r="E540" t="s">
        <v>8</v>
      </c>
      <c r="F540" t="s">
        <v>9</v>
      </c>
      <c r="G540" t="s">
        <v>19</v>
      </c>
    </row>
    <row r="541" spans="1:7" x14ac:dyDescent="0.25">
      <c r="A541" t="s">
        <v>332</v>
      </c>
      <c r="B541">
        <v>199</v>
      </c>
      <c r="C541">
        <v>-1</v>
      </c>
      <c r="D541">
        <v>1</v>
      </c>
      <c r="E541" t="s">
        <v>23</v>
      </c>
      <c r="F541" t="s">
        <v>26</v>
      </c>
      <c r="G541" t="s">
        <v>19</v>
      </c>
    </row>
    <row r="542" spans="1:7" x14ac:dyDescent="0.25">
      <c r="A542" t="s">
        <v>288</v>
      </c>
      <c r="B542">
        <v>154</v>
      </c>
      <c r="C542">
        <v>22</v>
      </c>
      <c r="D542">
        <v>7</v>
      </c>
      <c r="E542" t="s">
        <v>23</v>
      </c>
      <c r="F542" t="s">
        <v>81</v>
      </c>
      <c r="G542" t="s">
        <v>10</v>
      </c>
    </row>
    <row r="543" spans="1:7" x14ac:dyDescent="0.25">
      <c r="A543" t="s">
        <v>334</v>
      </c>
      <c r="B543">
        <v>152</v>
      </c>
      <c r="C543">
        <v>23</v>
      </c>
      <c r="D543">
        <v>3</v>
      </c>
      <c r="E543" t="s">
        <v>12</v>
      </c>
      <c r="F543" t="s">
        <v>131</v>
      </c>
      <c r="G543" t="s">
        <v>10</v>
      </c>
    </row>
    <row r="544" spans="1:7" x14ac:dyDescent="0.25">
      <c r="A544" t="s">
        <v>335</v>
      </c>
      <c r="B544">
        <v>152</v>
      </c>
      <c r="C544">
        <v>50</v>
      </c>
      <c r="D544">
        <v>6</v>
      </c>
      <c r="E544" t="s">
        <v>23</v>
      </c>
      <c r="F544" t="s">
        <v>57</v>
      </c>
      <c r="G544" t="s">
        <v>10</v>
      </c>
    </row>
    <row r="545" spans="1:7" x14ac:dyDescent="0.25">
      <c r="A545" t="s">
        <v>205</v>
      </c>
      <c r="B545">
        <v>122</v>
      </c>
      <c r="C545">
        <v>-21</v>
      </c>
      <c r="D545">
        <v>3</v>
      </c>
      <c r="E545" t="s">
        <v>12</v>
      </c>
      <c r="F545" t="s">
        <v>131</v>
      </c>
      <c r="G545" t="s">
        <v>28</v>
      </c>
    </row>
    <row r="546" spans="1:7" x14ac:dyDescent="0.25">
      <c r="A546" t="s">
        <v>234</v>
      </c>
      <c r="B546">
        <v>149</v>
      </c>
      <c r="C546">
        <v>48</v>
      </c>
      <c r="D546">
        <v>6</v>
      </c>
      <c r="E546" t="s">
        <v>23</v>
      </c>
      <c r="F546" t="s">
        <v>57</v>
      </c>
      <c r="G546" t="s">
        <v>10</v>
      </c>
    </row>
    <row r="547" spans="1:7" x14ac:dyDescent="0.25">
      <c r="A547" t="s">
        <v>336</v>
      </c>
      <c r="B547">
        <v>149</v>
      </c>
      <c r="C547">
        <v>-87</v>
      </c>
      <c r="D547">
        <v>4</v>
      </c>
      <c r="E547" t="s">
        <v>23</v>
      </c>
      <c r="F547" t="s">
        <v>26</v>
      </c>
      <c r="G547" t="s">
        <v>10</v>
      </c>
    </row>
    <row r="548" spans="1:7" x14ac:dyDescent="0.25">
      <c r="A548" t="s">
        <v>281</v>
      </c>
      <c r="B548">
        <v>197</v>
      </c>
      <c r="C548">
        <v>20</v>
      </c>
      <c r="D548">
        <v>4</v>
      </c>
      <c r="E548" t="s">
        <v>23</v>
      </c>
      <c r="F548" t="s">
        <v>32</v>
      </c>
      <c r="G548" t="s">
        <v>19</v>
      </c>
    </row>
    <row r="549" spans="1:7" x14ac:dyDescent="0.25">
      <c r="A549" t="s">
        <v>66</v>
      </c>
      <c r="B549">
        <v>76</v>
      </c>
      <c r="C549">
        <v>-54</v>
      </c>
      <c r="D549">
        <v>3</v>
      </c>
      <c r="E549" t="s">
        <v>8</v>
      </c>
      <c r="F549" t="s">
        <v>9</v>
      </c>
      <c r="G549" t="s">
        <v>10</v>
      </c>
    </row>
    <row r="550" spans="1:7" x14ac:dyDescent="0.25">
      <c r="A550" t="s">
        <v>262</v>
      </c>
      <c r="B550">
        <v>221</v>
      </c>
      <c r="C550">
        <v>-15</v>
      </c>
      <c r="D550">
        <v>2</v>
      </c>
      <c r="E550" t="s">
        <v>8</v>
      </c>
      <c r="F550" t="s">
        <v>9</v>
      </c>
      <c r="G550" t="s">
        <v>10</v>
      </c>
    </row>
    <row r="551" spans="1:7" x14ac:dyDescent="0.25">
      <c r="A551" t="s">
        <v>230</v>
      </c>
      <c r="B551">
        <v>79</v>
      </c>
      <c r="C551">
        <v>32</v>
      </c>
      <c r="D551">
        <v>3</v>
      </c>
      <c r="E551" t="s">
        <v>23</v>
      </c>
      <c r="F551" t="s">
        <v>26</v>
      </c>
      <c r="G551" t="s">
        <v>82</v>
      </c>
    </row>
    <row r="552" spans="1:7" x14ac:dyDescent="0.25">
      <c r="A552" t="s">
        <v>337</v>
      </c>
      <c r="B552">
        <v>45</v>
      </c>
      <c r="C552">
        <v>12</v>
      </c>
      <c r="D552">
        <v>7</v>
      </c>
      <c r="E552" t="s">
        <v>23</v>
      </c>
      <c r="F552" t="s">
        <v>30</v>
      </c>
      <c r="G552" t="s">
        <v>28</v>
      </c>
    </row>
    <row r="553" spans="1:7" x14ac:dyDescent="0.25">
      <c r="A553" t="s">
        <v>221</v>
      </c>
      <c r="B553">
        <v>149</v>
      </c>
      <c r="C553">
        <v>-1</v>
      </c>
      <c r="D553">
        <v>1</v>
      </c>
      <c r="E553" t="s">
        <v>23</v>
      </c>
      <c r="F553" t="s">
        <v>26</v>
      </c>
      <c r="G553" t="s">
        <v>10</v>
      </c>
    </row>
    <row r="554" spans="1:7" x14ac:dyDescent="0.25">
      <c r="A554" t="s">
        <v>301</v>
      </c>
      <c r="B554">
        <v>80</v>
      </c>
      <c r="C554">
        <v>22</v>
      </c>
      <c r="D554">
        <v>3</v>
      </c>
      <c r="E554" t="s">
        <v>23</v>
      </c>
      <c r="F554" t="s">
        <v>57</v>
      </c>
      <c r="G554" t="s">
        <v>82</v>
      </c>
    </row>
    <row r="555" spans="1:7" x14ac:dyDescent="0.25">
      <c r="A555" t="s">
        <v>256</v>
      </c>
      <c r="B555">
        <v>195</v>
      </c>
      <c r="C555">
        <v>12</v>
      </c>
      <c r="D555">
        <v>9</v>
      </c>
      <c r="E555" t="s">
        <v>23</v>
      </c>
      <c r="F555" t="s">
        <v>142</v>
      </c>
      <c r="G555" t="s">
        <v>19</v>
      </c>
    </row>
    <row r="556" spans="1:7" x14ac:dyDescent="0.25">
      <c r="A556" t="s">
        <v>54</v>
      </c>
      <c r="B556">
        <v>19</v>
      </c>
      <c r="C556">
        <v>0</v>
      </c>
      <c r="D556">
        <v>3</v>
      </c>
      <c r="E556" t="s">
        <v>23</v>
      </c>
      <c r="F556" t="s">
        <v>43</v>
      </c>
      <c r="G556" t="s">
        <v>28</v>
      </c>
    </row>
    <row r="557" spans="1:7" x14ac:dyDescent="0.25">
      <c r="A557" t="s">
        <v>132</v>
      </c>
      <c r="B557">
        <v>81</v>
      </c>
      <c r="C557">
        <v>41</v>
      </c>
      <c r="D557">
        <v>3</v>
      </c>
      <c r="E557" t="s">
        <v>23</v>
      </c>
      <c r="F557" t="s">
        <v>57</v>
      </c>
      <c r="G557" t="s">
        <v>82</v>
      </c>
    </row>
    <row r="558" spans="1:7" x14ac:dyDescent="0.25">
      <c r="A558" t="s">
        <v>338</v>
      </c>
      <c r="B558">
        <v>83</v>
      </c>
      <c r="C558">
        <v>34</v>
      </c>
      <c r="D558">
        <v>5</v>
      </c>
      <c r="E558" t="s">
        <v>23</v>
      </c>
      <c r="F558" t="s">
        <v>142</v>
      </c>
      <c r="G558" t="s">
        <v>82</v>
      </c>
    </row>
    <row r="559" spans="1:7" x14ac:dyDescent="0.25">
      <c r="A559" t="s">
        <v>49</v>
      </c>
      <c r="B559">
        <v>149</v>
      </c>
      <c r="C559">
        <v>17</v>
      </c>
      <c r="D559">
        <v>4</v>
      </c>
      <c r="E559" t="s">
        <v>12</v>
      </c>
      <c r="F559" t="s">
        <v>131</v>
      </c>
      <c r="G559" t="s">
        <v>10</v>
      </c>
    </row>
    <row r="560" spans="1:7" x14ac:dyDescent="0.25">
      <c r="A560" t="s">
        <v>339</v>
      </c>
      <c r="B560">
        <v>193</v>
      </c>
      <c r="C560">
        <v>46</v>
      </c>
      <c r="D560">
        <v>1</v>
      </c>
      <c r="E560" t="s">
        <v>8</v>
      </c>
      <c r="F560" t="s">
        <v>18</v>
      </c>
      <c r="G560" t="s">
        <v>19</v>
      </c>
    </row>
    <row r="561" spans="1:7" x14ac:dyDescent="0.25">
      <c r="A561" t="s">
        <v>88</v>
      </c>
      <c r="B561">
        <v>85</v>
      </c>
      <c r="C561">
        <v>24</v>
      </c>
      <c r="D561">
        <v>10</v>
      </c>
      <c r="E561" t="s">
        <v>23</v>
      </c>
      <c r="F561" t="s">
        <v>30</v>
      </c>
      <c r="G561" t="s">
        <v>82</v>
      </c>
    </row>
    <row r="562" spans="1:7" x14ac:dyDescent="0.25">
      <c r="A562" t="s">
        <v>221</v>
      </c>
      <c r="B562">
        <v>44</v>
      </c>
      <c r="C562">
        <v>-17</v>
      </c>
      <c r="D562">
        <v>5</v>
      </c>
      <c r="E562" t="s">
        <v>23</v>
      </c>
      <c r="F562" t="s">
        <v>26</v>
      </c>
      <c r="G562" t="s">
        <v>28</v>
      </c>
    </row>
    <row r="563" spans="1:7" x14ac:dyDescent="0.25">
      <c r="A563" t="s">
        <v>340</v>
      </c>
      <c r="B563">
        <v>149</v>
      </c>
      <c r="C563">
        <v>-40</v>
      </c>
      <c r="D563">
        <v>2</v>
      </c>
      <c r="E563" t="s">
        <v>8</v>
      </c>
      <c r="F563" t="s">
        <v>21</v>
      </c>
      <c r="G563" t="s">
        <v>10</v>
      </c>
    </row>
    <row r="564" spans="1:7" x14ac:dyDescent="0.25">
      <c r="A564" t="s">
        <v>341</v>
      </c>
      <c r="B564">
        <v>26</v>
      </c>
      <c r="C564">
        <v>0</v>
      </c>
      <c r="D564">
        <v>2</v>
      </c>
      <c r="E564" t="s">
        <v>23</v>
      </c>
      <c r="F564" t="s">
        <v>32</v>
      </c>
      <c r="G564" t="s">
        <v>10</v>
      </c>
    </row>
    <row r="565" spans="1:7" x14ac:dyDescent="0.25">
      <c r="A565" t="s">
        <v>258</v>
      </c>
      <c r="B565">
        <v>86</v>
      </c>
      <c r="C565">
        <v>0</v>
      </c>
      <c r="D565">
        <v>4</v>
      </c>
      <c r="E565" t="s">
        <v>23</v>
      </c>
      <c r="F565" t="s">
        <v>81</v>
      </c>
      <c r="G565" t="s">
        <v>82</v>
      </c>
    </row>
    <row r="566" spans="1:7" x14ac:dyDescent="0.25">
      <c r="A566" t="s">
        <v>342</v>
      </c>
      <c r="B566">
        <v>86</v>
      </c>
      <c r="C566">
        <v>22</v>
      </c>
      <c r="D566">
        <v>2</v>
      </c>
      <c r="E566" t="s">
        <v>23</v>
      </c>
      <c r="F566" t="s">
        <v>26</v>
      </c>
      <c r="G566" t="s">
        <v>82</v>
      </c>
    </row>
    <row r="567" spans="1:7" x14ac:dyDescent="0.25">
      <c r="A567" t="s">
        <v>60</v>
      </c>
      <c r="B567">
        <v>79</v>
      </c>
      <c r="C567">
        <v>16</v>
      </c>
      <c r="D567">
        <v>3</v>
      </c>
      <c r="E567" t="s">
        <v>23</v>
      </c>
      <c r="F567" t="s">
        <v>81</v>
      </c>
      <c r="G567" t="s">
        <v>10</v>
      </c>
    </row>
    <row r="568" spans="1:7" x14ac:dyDescent="0.25">
      <c r="A568" t="s">
        <v>343</v>
      </c>
      <c r="B568">
        <v>193</v>
      </c>
      <c r="C568">
        <v>-275</v>
      </c>
      <c r="D568">
        <v>3</v>
      </c>
      <c r="E568" t="s">
        <v>8</v>
      </c>
      <c r="F568" t="s">
        <v>21</v>
      </c>
      <c r="G568" t="s">
        <v>19</v>
      </c>
    </row>
    <row r="569" spans="1:7" x14ac:dyDescent="0.25">
      <c r="A569" t="s">
        <v>163</v>
      </c>
      <c r="B569">
        <v>148</v>
      </c>
      <c r="C569">
        <v>0</v>
      </c>
      <c r="D569">
        <v>3</v>
      </c>
      <c r="E569" t="s">
        <v>23</v>
      </c>
      <c r="F569" t="s">
        <v>26</v>
      </c>
      <c r="G569" t="s">
        <v>10</v>
      </c>
    </row>
    <row r="570" spans="1:7" x14ac:dyDescent="0.25">
      <c r="A570" t="s">
        <v>344</v>
      </c>
      <c r="B570">
        <v>70</v>
      </c>
      <c r="C570">
        <v>-14</v>
      </c>
      <c r="D570">
        <v>2</v>
      </c>
      <c r="E570" t="s">
        <v>12</v>
      </c>
      <c r="F570" t="s">
        <v>131</v>
      </c>
      <c r="G570" t="s">
        <v>28</v>
      </c>
    </row>
    <row r="571" spans="1:7" x14ac:dyDescent="0.25">
      <c r="A571" t="s">
        <v>345</v>
      </c>
      <c r="B571">
        <v>148</v>
      </c>
      <c r="C571">
        <v>59</v>
      </c>
      <c r="D571">
        <v>3</v>
      </c>
      <c r="E571" t="s">
        <v>23</v>
      </c>
      <c r="F571" t="s">
        <v>30</v>
      </c>
      <c r="G571" t="s">
        <v>10</v>
      </c>
    </row>
    <row r="572" spans="1:7" x14ac:dyDescent="0.25">
      <c r="A572" t="s">
        <v>46</v>
      </c>
      <c r="B572">
        <v>190</v>
      </c>
      <c r="C572">
        <v>19</v>
      </c>
      <c r="D572">
        <v>9</v>
      </c>
      <c r="E572" t="s">
        <v>12</v>
      </c>
      <c r="F572" t="s">
        <v>131</v>
      </c>
      <c r="G572" t="s">
        <v>19</v>
      </c>
    </row>
    <row r="573" spans="1:7" x14ac:dyDescent="0.25">
      <c r="A573" t="s">
        <v>260</v>
      </c>
      <c r="B573">
        <v>52</v>
      </c>
      <c r="C573">
        <v>14</v>
      </c>
      <c r="D573">
        <v>2</v>
      </c>
      <c r="E573" t="s">
        <v>23</v>
      </c>
      <c r="F573" t="s">
        <v>57</v>
      </c>
      <c r="G573" t="s">
        <v>10</v>
      </c>
    </row>
    <row r="574" spans="1:7" x14ac:dyDescent="0.25">
      <c r="A574" t="s">
        <v>327</v>
      </c>
      <c r="B574">
        <v>147</v>
      </c>
      <c r="C574">
        <v>44</v>
      </c>
      <c r="D574">
        <v>3</v>
      </c>
      <c r="E574" t="s">
        <v>23</v>
      </c>
      <c r="F574" t="s">
        <v>26</v>
      </c>
      <c r="G574" t="s">
        <v>10</v>
      </c>
    </row>
    <row r="575" spans="1:7" x14ac:dyDescent="0.25">
      <c r="A575" t="s">
        <v>191</v>
      </c>
      <c r="B575">
        <v>190</v>
      </c>
      <c r="C575">
        <v>68</v>
      </c>
      <c r="D575">
        <v>8</v>
      </c>
      <c r="E575" t="s">
        <v>23</v>
      </c>
      <c r="F575" t="s">
        <v>81</v>
      </c>
      <c r="G575" t="s">
        <v>19</v>
      </c>
    </row>
    <row r="576" spans="1:7" x14ac:dyDescent="0.25">
      <c r="A576" t="s">
        <v>346</v>
      </c>
      <c r="B576">
        <v>80</v>
      </c>
      <c r="C576">
        <v>-56</v>
      </c>
      <c r="D576">
        <v>4</v>
      </c>
      <c r="E576" t="s">
        <v>8</v>
      </c>
      <c r="F576" t="s">
        <v>9</v>
      </c>
      <c r="G576" t="s">
        <v>28</v>
      </c>
    </row>
    <row r="577" spans="1:7" x14ac:dyDescent="0.25">
      <c r="A577" t="s">
        <v>133</v>
      </c>
      <c r="B577">
        <v>147</v>
      </c>
      <c r="C577">
        <v>48</v>
      </c>
      <c r="D577">
        <v>3</v>
      </c>
      <c r="E577" t="s">
        <v>23</v>
      </c>
      <c r="F577" t="s">
        <v>26</v>
      </c>
      <c r="G577" t="s">
        <v>10</v>
      </c>
    </row>
    <row r="578" spans="1:7" x14ac:dyDescent="0.25">
      <c r="A578" t="s">
        <v>186</v>
      </c>
      <c r="B578">
        <v>66</v>
      </c>
      <c r="C578">
        <v>12</v>
      </c>
      <c r="D578">
        <v>3</v>
      </c>
      <c r="E578" t="s">
        <v>23</v>
      </c>
      <c r="F578" t="s">
        <v>57</v>
      </c>
      <c r="G578" t="s">
        <v>10</v>
      </c>
    </row>
    <row r="579" spans="1:7" x14ac:dyDescent="0.25">
      <c r="A579" t="s">
        <v>347</v>
      </c>
      <c r="B579">
        <v>86</v>
      </c>
      <c r="C579">
        <v>8</v>
      </c>
      <c r="D579">
        <v>2</v>
      </c>
      <c r="E579" t="s">
        <v>23</v>
      </c>
      <c r="F579" t="s">
        <v>26</v>
      </c>
      <c r="G579" t="s">
        <v>82</v>
      </c>
    </row>
    <row r="580" spans="1:7" x14ac:dyDescent="0.25">
      <c r="A580" t="s">
        <v>273</v>
      </c>
      <c r="B580">
        <v>88</v>
      </c>
      <c r="C580">
        <v>19</v>
      </c>
      <c r="D580">
        <v>2</v>
      </c>
      <c r="E580" t="s">
        <v>23</v>
      </c>
      <c r="F580" t="s">
        <v>142</v>
      </c>
      <c r="G580" t="s">
        <v>82</v>
      </c>
    </row>
    <row r="581" spans="1:7" x14ac:dyDescent="0.25">
      <c r="A581" t="s">
        <v>132</v>
      </c>
      <c r="B581">
        <v>188</v>
      </c>
      <c r="C581">
        <v>-193</v>
      </c>
      <c r="D581">
        <v>2</v>
      </c>
      <c r="E581" t="s">
        <v>8</v>
      </c>
      <c r="F581" t="s">
        <v>9</v>
      </c>
      <c r="G581" t="s">
        <v>19</v>
      </c>
    </row>
    <row r="582" spans="1:7" x14ac:dyDescent="0.25">
      <c r="A582" t="s">
        <v>179</v>
      </c>
      <c r="B582">
        <v>89</v>
      </c>
      <c r="C582">
        <v>29</v>
      </c>
      <c r="D582">
        <v>2</v>
      </c>
      <c r="E582" t="s">
        <v>23</v>
      </c>
      <c r="F582" t="s">
        <v>57</v>
      </c>
      <c r="G582" t="s">
        <v>28</v>
      </c>
    </row>
    <row r="583" spans="1:7" x14ac:dyDescent="0.25">
      <c r="A583" t="s">
        <v>348</v>
      </c>
      <c r="B583">
        <v>146</v>
      </c>
      <c r="C583">
        <v>19</v>
      </c>
      <c r="D583">
        <v>5</v>
      </c>
      <c r="E583" t="s">
        <v>23</v>
      </c>
      <c r="F583" t="s">
        <v>57</v>
      </c>
      <c r="G583" t="s">
        <v>10</v>
      </c>
    </row>
    <row r="584" spans="1:7" x14ac:dyDescent="0.25">
      <c r="A584" t="s">
        <v>124</v>
      </c>
      <c r="B584">
        <v>143</v>
      </c>
      <c r="C584">
        <v>32</v>
      </c>
      <c r="D584">
        <v>1</v>
      </c>
      <c r="E584" t="s">
        <v>12</v>
      </c>
      <c r="F584" t="s">
        <v>16</v>
      </c>
      <c r="G584" t="s">
        <v>10</v>
      </c>
    </row>
    <row r="585" spans="1:7" x14ac:dyDescent="0.25">
      <c r="A585" t="s">
        <v>276</v>
      </c>
      <c r="B585">
        <v>25</v>
      </c>
      <c r="C585">
        <v>-1</v>
      </c>
      <c r="D585">
        <v>4</v>
      </c>
      <c r="E585" t="s">
        <v>23</v>
      </c>
      <c r="F585" t="s">
        <v>32</v>
      </c>
      <c r="G585" t="s">
        <v>10</v>
      </c>
    </row>
    <row r="586" spans="1:7" x14ac:dyDescent="0.25">
      <c r="A586" t="s">
        <v>329</v>
      </c>
      <c r="B586">
        <v>30</v>
      </c>
      <c r="C586">
        <v>12</v>
      </c>
      <c r="D586">
        <v>3</v>
      </c>
      <c r="E586" t="s">
        <v>23</v>
      </c>
      <c r="F586" t="s">
        <v>43</v>
      </c>
      <c r="G586" t="s">
        <v>28</v>
      </c>
    </row>
    <row r="587" spans="1:7" x14ac:dyDescent="0.25">
      <c r="A587" t="s">
        <v>144</v>
      </c>
      <c r="B587">
        <v>140</v>
      </c>
      <c r="C587">
        <v>-58</v>
      </c>
      <c r="D587">
        <v>4</v>
      </c>
      <c r="E587" t="s">
        <v>12</v>
      </c>
      <c r="F587" t="s">
        <v>131</v>
      </c>
      <c r="G587" t="s">
        <v>10</v>
      </c>
    </row>
    <row r="588" spans="1:7" x14ac:dyDescent="0.25">
      <c r="A588" t="s">
        <v>246</v>
      </c>
      <c r="B588">
        <v>83</v>
      </c>
      <c r="C588">
        <v>-48</v>
      </c>
      <c r="D588">
        <v>1</v>
      </c>
      <c r="E588" t="s">
        <v>12</v>
      </c>
      <c r="F588" t="s">
        <v>16</v>
      </c>
      <c r="G588" t="s">
        <v>28</v>
      </c>
    </row>
    <row r="589" spans="1:7" x14ac:dyDescent="0.25">
      <c r="A589" t="s">
        <v>349</v>
      </c>
      <c r="B589">
        <v>140</v>
      </c>
      <c r="C589">
        <v>6</v>
      </c>
      <c r="D589">
        <v>5</v>
      </c>
      <c r="E589" t="s">
        <v>23</v>
      </c>
      <c r="F589" t="s">
        <v>26</v>
      </c>
      <c r="G589" t="s">
        <v>10</v>
      </c>
    </row>
    <row r="590" spans="1:7" x14ac:dyDescent="0.25">
      <c r="A590" t="s">
        <v>198</v>
      </c>
      <c r="B590">
        <v>28</v>
      </c>
      <c r="C590">
        <v>14</v>
      </c>
      <c r="D590">
        <v>4</v>
      </c>
      <c r="E590" t="s">
        <v>23</v>
      </c>
      <c r="F590" t="s">
        <v>30</v>
      </c>
      <c r="G590" t="s">
        <v>10</v>
      </c>
    </row>
    <row r="591" spans="1:7" x14ac:dyDescent="0.25">
      <c r="A591" t="s">
        <v>350</v>
      </c>
      <c r="B591">
        <v>139</v>
      </c>
      <c r="C591">
        <v>14</v>
      </c>
      <c r="D591">
        <v>3</v>
      </c>
      <c r="E591" t="s">
        <v>23</v>
      </c>
      <c r="F591" t="s">
        <v>57</v>
      </c>
      <c r="G591" t="s">
        <v>10</v>
      </c>
    </row>
    <row r="592" spans="1:7" x14ac:dyDescent="0.25">
      <c r="A592" t="s">
        <v>41</v>
      </c>
      <c r="B592">
        <v>30</v>
      </c>
      <c r="C592">
        <v>14</v>
      </c>
      <c r="D592">
        <v>3</v>
      </c>
      <c r="E592" t="s">
        <v>23</v>
      </c>
      <c r="F592" t="s">
        <v>30</v>
      </c>
      <c r="G592" t="s">
        <v>28</v>
      </c>
    </row>
    <row r="593" spans="1:7" x14ac:dyDescent="0.25">
      <c r="A593" t="s">
        <v>254</v>
      </c>
      <c r="B593">
        <v>89</v>
      </c>
      <c r="C593">
        <v>36</v>
      </c>
      <c r="D593">
        <v>3</v>
      </c>
      <c r="E593" t="s">
        <v>23</v>
      </c>
      <c r="F593" t="s">
        <v>142</v>
      </c>
      <c r="G593" t="s">
        <v>28</v>
      </c>
    </row>
    <row r="594" spans="1:7" x14ac:dyDescent="0.25">
      <c r="A594" t="s">
        <v>121</v>
      </c>
      <c r="B594">
        <v>187</v>
      </c>
      <c r="C594">
        <v>30</v>
      </c>
      <c r="D594">
        <v>4</v>
      </c>
      <c r="E594" t="s">
        <v>8</v>
      </c>
      <c r="F594" t="s">
        <v>73</v>
      </c>
      <c r="G594" t="s">
        <v>19</v>
      </c>
    </row>
    <row r="595" spans="1:7" x14ac:dyDescent="0.25">
      <c r="A595" t="s">
        <v>273</v>
      </c>
      <c r="B595">
        <v>139</v>
      </c>
      <c r="C595">
        <v>21</v>
      </c>
      <c r="D595">
        <v>3</v>
      </c>
      <c r="E595" t="s">
        <v>8</v>
      </c>
      <c r="F595" t="s">
        <v>73</v>
      </c>
      <c r="G595" t="s">
        <v>10</v>
      </c>
    </row>
    <row r="596" spans="1:7" x14ac:dyDescent="0.25">
      <c r="A596" t="s">
        <v>289</v>
      </c>
      <c r="B596">
        <v>437</v>
      </c>
      <c r="C596">
        <v>-14</v>
      </c>
      <c r="D596">
        <v>2</v>
      </c>
      <c r="E596" t="s">
        <v>23</v>
      </c>
      <c r="F596" t="s">
        <v>26</v>
      </c>
      <c r="G596" t="s">
        <v>28</v>
      </c>
    </row>
    <row r="597" spans="1:7" x14ac:dyDescent="0.25">
      <c r="A597" t="s">
        <v>227</v>
      </c>
      <c r="B597">
        <v>138</v>
      </c>
      <c r="C597">
        <v>-3</v>
      </c>
      <c r="D597">
        <v>5</v>
      </c>
      <c r="E597" t="s">
        <v>23</v>
      </c>
      <c r="F597" t="s">
        <v>26</v>
      </c>
      <c r="G597" t="s">
        <v>10</v>
      </c>
    </row>
    <row r="598" spans="1:7" x14ac:dyDescent="0.25">
      <c r="A598" t="s">
        <v>299</v>
      </c>
      <c r="B598">
        <v>85</v>
      </c>
      <c r="C598">
        <v>13</v>
      </c>
      <c r="D598">
        <v>2</v>
      </c>
      <c r="E598" t="s">
        <v>23</v>
      </c>
      <c r="F598" t="s">
        <v>142</v>
      </c>
      <c r="G598" t="s">
        <v>28</v>
      </c>
    </row>
    <row r="599" spans="1:7" x14ac:dyDescent="0.25">
      <c r="A599" t="s">
        <v>202</v>
      </c>
      <c r="B599">
        <v>83</v>
      </c>
      <c r="C599">
        <v>12</v>
      </c>
      <c r="D599">
        <v>3</v>
      </c>
      <c r="E599" t="s">
        <v>23</v>
      </c>
      <c r="F599" t="s">
        <v>57</v>
      </c>
      <c r="G599" t="s">
        <v>28</v>
      </c>
    </row>
    <row r="600" spans="1:7" x14ac:dyDescent="0.25">
      <c r="A600" t="s">
        <v>294</v>
      </c>
      <c r="B600">
        <v>91</v>
      </c>
      <c r="C600">
        <v>22</v>
      </c>
      <c r="D600">
        <v>2</v>
      </c>
      <c r="E600" t="s">
        <v>23</v>
      </c>
      <c r="F600" t="s">
        <v>57</v>
      </c>
      <c r="G600" t="s">
        <v>28</v>
      </c>
    </row>
    <row r="601" spans="1:7" x14ac:dyDescent="0.25">
      <c r="A601" t="s">
        <v>172</v>
      </c>
      <c r="B601">
        <v>137</v>
      </c>
      <c r="C601">
        <v>5</v>
      </c>
      <c r="D601">
        <v>5</v>
      </c>
      <c r="E601" t="s">
        <v>23</v>
      </c>
      <c r="F601" t="s">
        <v>142</v>
      </c>
      <c r="G601" t="s">
        <v>10</v>
      </c>
    </row>
    <row r="602" spans="1:7" x14ac:dyDescent="0.25">
      <c r="A602" t="s">
        <v>351</v>
      </c>
      <c r="B602">
        <v>33</v>
      </c>
      <c r="C602">
        <v>-12</v>
      </c>
      <c r="D602">
        <v>7</v>
      </c>
      <c r="E602" t="s">
        <v>23</v>
      </c>
      <c r="F602" t="s">
        <v>26</v>
      </c>
      <c r="G602" t="s">
        <v>28</v>
      </c>
    </row>
    <row r="603" spans="1:7" x14ac:dyDescent="0.25">
      <c r="A603" t="s">
        <v>67</v>
      </c>
      <c r="B603">
        <v>134</v>
      </c>
      <c r="C603">
        <v>-34</v>
      </c>
      <c r="D603">
        <v>2</v>
      </c>
      <c r="E603" t="s">
        <v>12</v>
      </c>
      <c r="F603" t="s">
        <v>13</v>
      </c>
      <c r="G603" t="s">
        <v>10</v>
      </c>
    </row>
    <row r="604" spans="1:7" x14ac:dyDescent="0.25">
      <c r="A604" t="s">
        <v>352</v>
      </c>
      <c r="B604">
        <v>134</v>
      </c>
      <c r="C604">
        <v>42</v>
      </c>
      <c r="D604">
        <v>2</v>
      </c>
      <c r="E604" t="s">
        <v>12</v>
      </c>
      <c r="F604" t="s">
        <v>13</v>
      </c>
      <c r="G604" t="s">
        <v>10</v>
      </c>
    </row>
    <row r="605" spans="1:7" x14ac:dyDescent="0.25">
      <c r="A605" t="s">
        <v>353</v>
      </c>
      <c r="B605">
        <v>133</v>
      </c>
      <c r="C605">
        <v>-56</v>
      </c>
      <c r="D605">
        <v>2</v>
      </c>
      <c r="E605" t="s">
        <v>12</v>
      </c>
      <c r="F605" t="s">
        <v>13</v>
      </c>
      <c r="G605" t="s">
        <v>10</v>
      </c>
    </row>
    <row r="606" spans="1:7" x14ac:dyDescent="0.25">
      <c r="A606" t="s">
        <v>200</v>
      </c>
      <c r="B606">
        <v>93</v>
      </c>
      <c r="C606">
        <v>-84</v>
      </c>
      <c r="D606">
        <v>3</v>
      </c>
      <c r="E606" t="s">
        <v>23</v>
      </c>
      <c r="F606" t="s">
        <v>26</v>
      </c>
      <c r="G606" t="s">
        <v>28</v>
      </c>
    </row>
    <row r="607" spans="1:7" x14ac:dyDescent="0.25">
      <c r="A607" t="s">
        <v>161</v>
      </c>
      <c r="B607">
        <v>86</v>
      </c>
      <c r="C607">
        <v>-21</v>
      </c>
      <c r="D607">
        <v>1</v>
      </c>
      <c r="E607" t="s">
        <v>8</v>
      </c>
      <c r="F607" t="s">
        <v>9</v>
      </c>
      <c r="G607" t="s">
        <v>28</v>
      </c>
    </row>
    <row r="608" spans="1:7" x14ac:dyDescent="0.25">
      <c r="A608" t="s">
        <v>48</v>
      </c>
      <c r="B608">
        <v>132</v>
      </c>
      <c r="C608">
        <v>54</v>
      </c>
      <c r="D608">
        <v>5</v>
      </c>
      <c r="E608" t="s">
        <v>23</v>
      </c>
      <c r="F608" t="s">
        <v>57</v>
      </c>
      <c r="G608" t="s">
        <v>10</v>
      </c>
    </row>
    <row r="609" spans="1:7" x14ac:dyDescent="0.25">
      <c r="A609" t="s">
        <v>83</v>
      </c>
      <c r="B609">
        <v>132</v>
      </c>
      <c r="C609">
        <v>-10</v>
      </c>
      <c r="D609">
        <v>3</v>
      </c>
      <c r="E609" t="s">
        <v>23</v>
      </c>
      <c r="F609" t="s">
        <v>26</v>
      </c>
      <c r="G609" t="s">
        <v>10</v>
      </c>
    </row>
    <row r="610" spans="1:7" x14ac:dyDescent="0.25">
      <c r="A610" t="s">
        <v>252</v>
      </c>
      <c r="B610">
        <v>132</v>
      </c>
      <c r="C610">
        <v>-79</v>
      </c>
      <c r="D610">
        <v>5</v>
      </c>
      <c r="E610" t="s">
        <v>12</v>
      </c>
      <c r="F610" t="s">
        <v>131</v>
      </c>
      <c r="G610" t="s">
        <v>10</v>
      </c>
    </row>
    <row r="611" spans="1:7" x14ac:dyDescent="0.25">
      <c r="A611" t="s">
        <v>292</v>
      </c>
      <c r="B611">
        <v>93</v>
      </c>
      <c r="C611">
        <v>-65</v>
      </c>
      <c r="D611">
        <v>4</v>
      </c>
      <c r="E611" t="s">
        <v>23</v>
      </c>
      <c r="F611" t="s">
        <v>57</v>
      </c>
      <c r="G611" t="s">
        <v>28</v>
      </c>
    </row>
    <row r="612" spans="1:7" x14ac:dyDescent="0.25">
      <c r="A612" t="s">
        <v>354</v>
      </c>
      <c r="B612">
        <v>95</v>
      </c>
      <c r="C612">
        <v>5</v>
      </c>
      <c r="D612">
        <v>2</v>
      </c>
      <c r="E612" t="s">
        <v>23</v>
      </c>
      <c r="F612" t="s">
        <v>57</v>
      </c>
      <c r="G612" t="s">
        <v>28</v>
      </c>
    </row>
    <row r="613" spans="1:7" x14ac:dyDescent="0.25">
      <c r="A613" t="s">
        <v>61</v>
      </c>
      <c r="B613">
        <v>97</v>
      </c>
      <c r="C613">
        <v>12</v>
      </c>
      <c r="D613">
        <v>2</v>
      </c>
      <c r="E613" t="s">
        <v>23</v>
      </c>
      <c r="F613" t="s">
        <v>30</v>
      </c>
      <c r="G613" t="s">
        <v>28</v>
      </c>
    </row>
    <row r="614" spans="1:7" x14ac:dyDescent="0.25">
      <c r="A614" t="s">
        <v>355</v>
      </c>
      <c r="B614">
        <v>131</v>
      </c>
      <c r="C614">
        <v>-154</v>
      </c>
      <c r="D614">
        <v>8</v>
      </c>
      <c r="E614" t="s">
        <v>12</v>
      </c>
      <c r="F614" t="s">
        <v>131</v>
      </c>
      <c r="G614" t="s">
        <v>10</v>
      </c>
    </row>
    <row r="615" spans="1:7" x14ac:dyDescent="0.25">
      <c r="A615" t="s">
        <v>298</v>
      </c>
      <c r="B615">
        <v>97</v>
      </c>
      <c r="C615">
        <v>29</v>
      </c>
      <c r="D615">
        <v>2</v>
      </c>
      <c r="E615" t="s">
        <v>23</v>
      </c>
      <c r="F615" t="s">
        <v>30</v>
      </c>
      <c r="G615" t="s">
        <v>28</v>
      </c>
    </row>
    <row r="616" spans="1:7" x14ac:dyDescent="0.25">
      <c r="A616" t="s">
        <v>41</v>
      </c>
      <c r="B616">
        <v>128</v>
      </c>
      <c r="C616">
        <v>4</v>
      </c>
      <c r="D616">
        <v>3</v>
      </c>
      <c r="E616" t="s">
        <v>23</v>
      </c>
      <c r="F616" t="s">
        <v>26</v>
      </c>
      <c r="G616" t="s">
        <v>10</v>
      </c>
    </row>
    <row r="617" spans="1:7" x14ac:dyDescent="0.25">
      <c r="A617" t="s">
        <v>33</v>
      </c>
      <c r="B617">
        <v>186</v>
      </c>
      <c r="C617">
        <v>241</v>
      </c>
      <c r="D617">
        <v>9</v>
      </c>
      <c r="E617" t="s">
        <v>23</v>
      </c>
      <c r="F617" t="s">
        <v>142</v>
      </c>
      <c r="G617" t="s">
        <v>19</v>
      </c>
    </row>
    <row r="618" spans="1:7" x14ac:dyDescent="0.25">
      <c r="A618" t="s">
        <v>60</v>
      </c>
      <c r="B618">
        <v>128</v>
      </c>
      <c r="C618">
        <v>47</v>
      </c>
      <c r="D618">
        <v>4</v>
      </c>
      <c r="E618" t="s">
        <v>23</v>
      </c>
      <c r="F618" t="s">
        <v>30</v>
      </c>
      <c r="G618" t="s">
        <v>10</v>
      </c>
    </row>
    <row r="619" spans="1:7" x14ac:dyDescent="0.25">
      <c r="A619" t="s">
        <v>172</v>
      </c>
      <c r="B619">
        <v>185</v>
      </c>
      <c r="C619">
        <v>48</v>
      </c>
      <c r="D619">
        <v>4</v>
      </c>
      <c r="E619" t="s">
        <v>23</v>
      </c>
      <c r="F619" t="s">
        <v>57</v>
      </c>
      <c r="G619" t="s">
        <v>19</v>
      </c>
    </row>
    <row r="620" spans="1:7" x14ac:dyDescent="0.25">
      <c r="A620" t="s">
        <v>356</v>
      </c>
      <c r="B620">
        <v>29</v>
      </c>
      <c r="C620">
        <v>10</v>
      </c>
      <c r="D620">
        <v>2</v>
      </c>
      <c r="E620" t="s">
        <v>23</v>
      </c>
      <c r="F620" t="s">
        <v>57</v>
      </c>
      <c r="G620" t="s">
        <v>10</v>
      </c>
    </row>
    <row r="621" spans="1:7" x14ac:dyDescent="0.25">
      <c r="A621" t="s">
        <v>59</v>
      </c>
      <c r="B621">
        <v>127</v>
      </c>
      <c r="C621">
        <v>29</v>
      </c>
      <c r="D621">
        <v>3</v>
      </c>
      <c r="E621" t="s">
        <v>12</v>
      </c>
      <c r="F621" t="s">
        <v>131</v>
      </c>
      <c r="G621" t="s">
        <v>10</v>
      </c>
    </row>
    <row r="622" spans="1:7" x14ac:dyDescent="0.25">
      <c r="A622" t="s">
        <v>237</v>
      </c>
      <c r="B622">
        <v>97</v>
      </c>
      <c r="C622">
        <v>36</v>
      </c>
      <c r="D622">
        <v>7</v>
      </c>
      <c r="E622" t="s">
        <v>23</v>
      </c>
      <c r="F622" t="s">
        <v>30</v>
      </c>
      <c r="G622" t="s">
        <v>28</v>
      </c>
    </row>
    <row r="623" spans="1:7" x14ac:dyDescent="0.25">
      <c r="A623" t="s">
        <v>139</v>
      </c>
      <c r="B623">
        <v>125</v>
      </c>
      <c r="C623">
        <v>0</v>
      </c>
      <c r="D623">
        <v>3</v>
      </c>
      <c r="E623" t="s">
        <v>8</v>
      </c>
      <c r="F623" t="s">
        <v>73</v>
      </c>
      <c r="G623" t="s">
        <v>10</v>
      </c>
    </row>
    <row r="624" spans="1:7" x14ac:dyDescent="0.25">
      <c r="A624" t="s">
        <v>357</v>
      </c>
      <c r="B624">
        <v>299</v>
      </c>
      <c r="C624">
        <v>-8</v>
      </c>
      <c r="D624">
        <v>2</v>
      </c>
      <c r="E624" t="s">
        <v>23</v>
      </c>
      <c r="F624" t="s">
        <v>26</v>
      </c>
      <c r="G624" t="s">
        <v>10</v>
      </c>
    </row>
    <row r="625" spans="1:7" x14ac:dyDescent="0.25">
      <c r="A625" t="s">
        <v>358</v>
      </c>
      <c r="B625">
        <v>124</v>
      </c>
      <c r="C625">
        <v>54</v>
      </c>
      <c r="D625">
        <v>5</v>
      </c>
      <c r="E625" t="s">
        <v>23</v>
      </c>
      <c r="F625" t="s">
        <v>81</v>
      </c>
      <c r="G625" t="s">
        <v>10</v>
      </c>
    </row>
    <row r="626" spans="1:7" x14ac:dyDescent="0.25">
      <c r="A626" t="s">
        <v>227</v>
      </c>
      <c r="B626">
        <v>90</v>
      </c>
      <c r="C626">
        <v>17</v>
      </c>
      <c r="D626">
        <v>3</v>
      </c>
      <c r="E626" t="s">
        <v>23</v>
      </c>
      <c r="F626" t="s">
        <v>142</v>
      </c>
      <c r="G626" t="s">
        <v>10</v>
      </c>
    </row>
    <row r="627" spans="1:7" x14ac:dyDescent="0.25">
      <c r="A627" t="s">
        <v>253</v>
      </c>
      <c r="B627">
        <v>122</v>
      </c>
      <c r="C627">
        <v>11</v>
      </c>
      <c r="D627">
        <v>4</v>
      </c>
      <c r="E627" t="s">
        <v>23</v>
      </c>
      <c r="F627" t="s">
        <v>30</v>
      </c>
      <c r="G627" t="s">
        <v>10</v>
      </c>
    </row>
    <row r="628" spans="1:7" x14ac:dyDescent="0.25">
      <c r="A628" t="s">
        <v>337</v>
      </c>
      <c r="B628">
        <v>122</v>
      </c>
      <c r="C628">
        <v>-66</v>
      </c>
      <c r="D628">
        <v>9</v>
      </c>
      <c r="E628" t="s">
        <v>8</v>
      </c>
      <c r="F628" t="s">
        <v>73</v>
      </c>
      <c r="G628" t="s">
        <v>10</v>
      </c>
    </row>
    <row r="629" spans="1:7" x14ac:dyDescent="0.25">
      <c r="A629" t="s">
        <v>69</v>
      </c>
      <c r="B629">
        <v>90</v>
      </c>
      <c r="C629">
        <v>30</v>
      </c>
      <c r="D629">
        <v>2</v>
      </c>
      <c r="E629" t="s">
        <v>12</v>
      </c>
      <c r="F629" t="s">
        <v>13</v>
      </c>
      <c r="G629" t="s">
        <v>28</v>
      </c>
    </row>
    <row r="630" spans="1:7" x14ac:dyDescent="0.25">
      <c r="A630" t="s">
        <v>359</v>
      </c>
      <c r="B630">
        <v>182</v>
      </c>
      <c r="C630">
        <v>-11</v>
      </c>
      <c r="D630">
        <v>3</v>
      </c>
      <c r="E630" t="s">
        <v>12</v>
      </c>
      <c r="F630" t="s">
        <v>16</v>
      </c>
      <c r="G630" t="s">
        <v>19</v>
      </c>
    </row>
    <row r="631" spans="1:7" x14ac:dyDescent="0.25">
      <c r="A631" t="s">
        <v>153</v>
      </c>
      <c r="B631">
        <v>122</v>
      </c>
      <c r="C631">
        <v>59</v>
      </c>
      <c r="D631">
        <v>7</v>
      </c>
      <c r="E631" t="s">
        <v>12</v>
      </c>
      <c r="F631" t="s">
        <v>131</v>
      </c>
      <c r="G631" t="s">
        <v>10</v>
      </c>
    </row>
    <row r="632" spans="1:7" x14ac:dyDescent="0.25">
      <c r="A632" t="s">
        <v>360</v>
      </c>
      <c r="B632">
        <v>121</v>
      </c>
      <c r="C632">
        <v>19</v>
      </c>
      <c r="D632">
        <v>4</v>
      </c>
      <c r="E632" t="s">
        <v>23</v>
      </c>
      <c r="F632" t="s">
        <v>57</v>
      </c>
      <c r="G632" t="s">
        <v>10</v>
      </c>
    </row>
    <row r="633" spans="1:7" x14ac:dyDescent="0.25">
      <c r="A633" t="s">
        <v>167</v>
      </c>
      <c r="B633">
        <v>120</v>
      </c>
      <c r="C633">
        <v>1</v>
      </c>
      <c r="D633">
        <v>1</v>
      </c>
      <c r="E633" t="s">
        <v>12</v>
      </c>
      <c r="F633" t="s">
        <v>13</v>
      </c>
      <c r="G633" t="s">
        <v>10</v>
      </c>
    </row>
    <row r="634" spans="1:7" x14ac:dyDescent="0.25">
      <c r="A634" t="s">
        <v>179</v>
      </c>
      <c r="B634">
        <v>120</v>
      </c>
      <c r="C634">
        <v>23</v>
      </c>
      <c r="D634">
        <v>5</v>
      </c>
      <c r="E634" t="s">
        <v>23</v>
      </c>
      <c r="F634" t="s">
        <v>57</v>
      </c>
      <c r="G634" t="s">
        <v>10</v>
      </c>
    </row>
    <row r="635" spans="1:7" x14ac:dyDescent="0.25">
      <c r="A635" t="s">
        <v>104</v>
      </c>
      <c r="B635">
        <v>34</v>
      </c>
      <c r="C635">
        <v>-11</v>
      </c>
      <c r="D635">
        <v>5</v>
      </c>
      <c r="E635" t="s">
        <v>23</v>
      </c>
      <c r="F635" t="s">
        <v>81</v>
      </c>
      <c r="G635" t="s">
        <v>10</v>
      </c>
    </row>
    <row r="636" spans="1:7" x14ac:dyDescent="0.25">
      <c r="A636" t="s">
        <v>97</v>
      </c>
      <c r="B636">
        <v>117</v>
      </c>
      <c r="C636">
        <v>17</v>
      </c>
      <c r="D636">
        <v>6</v>
      </c>
      <c r="E636" t="s">
        <v>23</v>
      </c>
      <c r="F636" t="s">
        <v>32</v>
      </c>
      <c r="G636" t="s">
        <v>10</v>
      </c>
    </row>
    <row r="637" spans="1:7" x14ac:dyDescent="0.25">
      <c r="A637" t="s">
        <v>361</v>
      </c>
      <c r="B637">
        <v>38</v>
      </c>
      <c r="C637">
        <v>9</v>
      </c>
      <c r="D637">
        <v>2</v>
      </c>
      <c r="E637" t="s">
        <v>23</v>
      </c>
      <c r="F637" t="s">
        <v>57</v>
      </c>
      <c r="G637" t="s">
        <v>10</v>
      </c>
    </row>
    <row r="638" spans="1:7" x14ac:dyDescent="0.25">
      <c r="A638" t="s">
        <v>25</v>
      </c>
      <c r="B638">
        <v>117</v>
      </c>
      <c r="C638">
        <v>-6</v>
      </c>
      <c r="D638">
        <v>3</v>
      </c>
      <c r="E638" t="s">
        <v>8</v>
      </c>
      <c r="F638" t="s">
        <v>21</v>
      </c>
      <c r="G638" t="s">
        <v>10</v>
      </c>
    </row>
    <row r="639" spans="1:7" x14ac:dyDescent="0.25">
      <c r="A639" t="s">
        <v>217</v>
      </c>
      <c r="B639">
        <v>180</v>
      </c>
      <c r="C639">
        <v>54</v>
      </c>
      <c r="D639">
        <v>4</v>
      </c>
      <c r="E639" t="s">
        <v>23</v>
      </c>
      <c r="F639" t="s">
        <v>81</v>
      </c>
      <c r="G639" t="s">
        <v>19</v>
      </c>
    </row>
    <row r="640" spans="1:7" x14ac:dyDescent="0.25">
      <c r="A640" t="s">
        <v>224</v>
      </c>
      <c r="B640">
        <v>99</v>
      </c>
      <c r="C640">
        <v>-5</v>
      </c>
      <c r="D640">
        <v>1</v>
      </c>
      <c r="E640" t="s">
        <v>23</v>
      </c>
      <c r="F640" t="s">
        <v>26</v>
      </c>
      <c r="G640" t="s">
        <v>28</v>
      </c>
    </row>
    <row r="641" spans="1:7" x14ac:dyDescent="0.25">
      <c r="A641" t="s">
        <v>119</v>
      </c>
      <c r="B641">
        <v>172</v>
      </c>
      <c r="C641">
        <v>-103</v>
      </c>
      <c r="D641">
        <v>3</v>
      </c>
      <c r="E641" t="s">
        <v>12</v>
      </c>
      <c r="F641" t="s">
        <v>13</v>
      </c>
      <c r="G641" t="s">
        <v>14</v>
      </c>
    </row>
    <row r="642" spans="1:7" x14ac:dyDescent="0.25">
      <c r="A642" t="s">
        <v>149</v>
      </c>
      <c r="B642">
        <v>116</v>
      </c>
      <c r="C642">
        <v>16</v>
      </c>
      <c r="D642">
        <v>4</v>
      </c>
      <c r="E642" t="s">
        <v>23</v>
      </c>
      <c r="F642" t="s">
        <v>57</v>
      </c>
      <c r="G642" t="s">
        <v>10</v>
      </c>
    </row>
    <row r="643" spans="1:7" x14ac:dyDescent="0.25">
      <c r="A643" t="s">
        <v>25</v>
      </c>
      <c r="B643">
        <v>116</v>
      </c>
      <c r="C643">
        <v>-4</v>
      </c>
      <c r="D643">
        <v>1</v>
      </c>
      <c r="E643" t="s">
        <v>23</v>
      </c>
      <c r="F643" t="s">
        <v>26</v>
      </c>
      <c r="G643" t="s">
        <v>10</v>
      </c>
    </row>
    <row r="644" spans="1:7" x14ac:dyDescent="0.25">
      <c r="A644" t="s">
        <v>362</v>
      </c>
      <c r="B644">
        <v>171</v>
      </c>
      <c r="C644">
        <v>68</v>
      </c>
      <c r="D644">
        <v>7</v>
      </c>
      <c r="E644" t="s">
        <v>23</v>
      </c>
      <c r="F644" t="s">
        <v>57</v>
      </c>
      <c r="G644" t="s">
        <v>14</v>
      </c>
    </row>
    <row r="645" spans="1:7" x14ac:dyDescent="0.25">
      <c r="A645" t="s">
        <v>128</v>
      </c>
      <c r="B645">
        <v>46</v>
      </c>
      <c r="C645">
        <v>14</v>
      </c>
      <c r="D645">
        <v>5</v>
      </c>
      <c r="E645" t="s">
        <v>23</v>
      </c>
      <c r="F645" t="s">
        <v>43</v>
      </c>
      <c r="G645" t="s">
        <v>10</v>
      </c>
    </row>
    <row r="646" spans="1:7" x14ac:dyDescent="0.25">
      <c r="A646" t="s">
        <v>99</v>
      </c>
      <c r="B646">
        <v>115</v>
      </c>
      <c r="C646">
        <v>-39</v>
      </c>
      <c r="D646">
        <v>3</v>
      </c>
      <c r="E646" t="s">
        <v>23</v>
      </c>
      <c r="F646" t="s">
        <v>24</v>
      </c>
      <c r="G646" t="s">
        <v>10</v>
      </c>
    </row>
    <row r="647" spans="1:7" x14ac:dyDescent="0.25">
      <c r="A647" t="s">
        <v>363</v>
      </c>
      <c r="B647">
        <v>100</v>
      </c>
      <c r="C647">
        <v>7</v>
      </c>
      <c r="D647">
        <v>2</v>
      </c>
      <c r="E647" t="s">
        <v>23</v>
      </c>
      <c r="F647" t="s">
        <v>81</v>
      </c>
      <c r="G647" t="s">
        <v>28</v>
      </c>
    </row>
    <row r="648" spans="1:7" x14ac:dyDescent="0.25">
      <c r="A648" t="s">
        <v>164</v>
      </c>
      <c r="B648">
        <v>44</v>
      </c>
      <c r="C648">
        <v>8</v>
      </c>
      <c r="D648">
        <v>2</v>
      </c>
      <c r="E648" t="s">
        <v>23</v>
      </c>
      <c r="F648" t="s">
        <v>57</v>
      </c>
      <c r="G648" t="s">
        <v>10</v>
      </c>
    </row>
    <row r="649" spans="1:7" x14ac:dyDescent="0.25">
      <c r="A649" t="s">
        <v>238</v>
      </c>
      <c r="B649">
        <v>139</v>
      </c>
      <c r="C649">
        <v>14</v>
      </c>
      <c r="D649">
        <v>3</v>
      </c>
      <c r="E649" t="s">
        <v>23</v>
      </c>
      <c r="F649" t="s">
        <v>32</v>
      </c>
      <c r="G649" t="s">
        <v>10</v>
      </c>
    </row>
    <row r="650" spans="1:7" x14ac:dyDescent="0.25">
      <c r="A650" t="s">
        <v>364</v>
      </c>
      <c r="B650">
        <v>171</v>
      </c>
      <c r="C650">
        <v>-140</v>
      </c>
      <c r="D650">
        <v>2</v>
      </c>
      <c r="E650" t="s">
        <v>12</v>
      </c>
      <c r="F650" t="s">
        <v>16</v>
      </c>
      <c r="G650" t="s">
        <v>14</v>
      </c>
    </row>
    <row r="651" spans="1:7" x14ac:dyDescent="0.25">
      <c r="A651" t="s">
        <v>365</v>
      </c>
      <c r="B651">
        <v>100</v>
      </c>
      <c r="C651">
        <v>12</v>
      </c>
      <c r="D651">
        <v>2</v>
      </c>
      <c r="E651" t="s">
        <v>23</v>
      </c>
      <c r="F651" t="s">
        <v>81</v>
      </c>
      <c r="G651" t="s">
        <v>28</v>
      </c>
    </row>
    <row r="652" spans="1:7" x14ac:dyDescent="0.25">
      <c r="A652" t="s">
        <v>349</v>
      </c>
      <c r="B652">
        <v>115</v>
      </c>
      <c r="C652">
        <v>25</v>
      </c>
      <c r="D652">
        <v>6</v>
      </c>
      <c r="E652" t="s">
        <v>23</v>
      </c>
      <c r="F652" t="s">
        <v>57</v>
      </c>
      <c r="G652" t="s">
        <v>10</v>
      </c>
    </row>
    <row r="653" spans="1:7" x14ac:dyDescent="0.25">
      <c r="A653" t="s">
        <v>25</v>
      </c>
      <c r="B653">
        <v>168</v>
      </c>
      <c r="C653">
        <v>-9</v>
      </c>
      <c r="D653">
        <v>3</v>
      </c>
      <c r="E653" t="s">
        <v>23</v>
      </c>
      <c r="F653" t="s">
        <v>26</v>
      </c>
      <c r="G653" t="s">
        <v>10</v>
      </c>
    </row>
    <row r="654" spans="1:7" x14ac:dyDescent="0.25">
      <c r="A654" t="s">
        <v>366</v>
      </c>
      <c r="B654">
        <v>115</v>
      </c>
      <c r="C654">
        <v>47</v>
      </c>
      <c r="D654">
        <v>2</v>
      </c>
      <c r="E654" t="s">
        <v>8</v>
      </c>
      <c r="F654" t="s">
        <v>73</v>
      </c>
      <c r="G654" t="s">
        <v>10</v>
      </c>
    </row>
    <row r="655" spans="1:7" x14ac:dyDescent="0.25">
      <c r="A655" t="s">
        <v>20</v>
      </c>
      <c r="B655">
        <v>168</v>
      </c>
      <c r="C655">
        <v>-111</v>
      </c>
      <c r="D655">
        <v>2</v>
      </c>
      <c r="E655" t="s">
        <v>8</v>
      </c>
      <c r="F655" t="s">
        <v>21</v>
      </c>
      <c r="G655" t="s">
        <v>14</v>
      </c>
    </row>
    <row r="656" spans="1:7" x14ac:dyDescent="0.25">
      <c r="A656" t="s">
        <v>367</v>
      </c>
      <c r="B656">
        <v>31</v>
      </c>
      <c r="C656">
        <v>-7</v>
      </c>
      <c r="D656">
        <v>5</v>
      </c>
      <c r="E656" t="s">
        <v>23</v>
      </c>
      <c r="F656" t="s">
        <v>43</v>
      </c>
      <c r="G656" t="s">
        <v>28</v>
      </c>
    </row>
    <row r="657" spans="1:7" x14ac:dyDescent="0.25">
      <c r="A657" t="s">
        <v>60</v>
      </c>
      <c r="B657">
        <v>114</v>
      </c>
      <c r="C657">
        <v>41</v>
      </c>
      <c r="D657">
        <v>6</v>
      </c>
      <c r="E657" t="s">
        <v>12</v>
      </c>
      <c r="F657" t="s">
        <v>131</v>
      </c>
      <c r="G657" t="s">
        <v>10</v>
      </c>
    </row>
    <row r="658" spans="1:7" x14ac:dyDescent="0.25">
      <c r="A658" t="s">
        <v>136</v>
      </c>
      <c r="B658">
        <v>111</v>
      </c>
      <c r="C658">
        <v>9</v>
      </c>
      <c r="D658">
        <v>4</v>
      </c>
      <c r="E658" t="s">
        <v>23</v>
      </c>
      <c r="F658" t="s">
        <v>57</v>
      </c>
      <c r="G658" t="s">
        <v>10</v>
      </c>
    </row>
    <row r="659" spans="1:7" x14ac:dyDescent="0.25">
      <c r="A659" t="s">
        <v>368</v>
      </c>
      <c r="B659">
        <v>11</v>
      </c>
      <c r="C659">
        <v>-8</v>
      </c>
      <c r="D659">
        <v>2</v>
      </c>
      <c r="E659" t="s">
        <v>23</v>
      </c>
      <c r="F659" t="s">
        <v>43</v>
      </c>
      <c r="G659" t="s">
        <v>28</v>
      </c>
    </row>
    <row r="660" spans="1:7" x14ac:dyDescent="0.25">
      <c r="A660" t="s">
        <v>249</v>
      </c>
      <c r="B660">
        <v>110</v>
      </c>
      <c r="C660">
        <v>35</v>
      </c>
      <c r="D660">
        <v>1</v>
      </c>
      <c r="E660" t="s">
        <v>12</v>
      </c>
      <c r="F660" t="s">
        <v>131</v>
      </c>
      <c r="G660" t="s">
        <v>10</v>
      </c>
    </row>
    <row r="661" spans="1:7" x14ac:dyDescent="0.25">
      <c r="A661" t="s">
        <v>128</v>
      </c>
      <c r="B661">
        <v>59</v>
      </c>
      <c r="C661">
        <v>15</v>
      </c>
      <c r="D661">
        <v>2</v>
      </c>
      <c r="E661" t="s">
        <v>23</v>
      </c>
      <c r="F661" t="s">
        <v>81</v>
      </c>
      <c r="G661" t="s">
        <v>28</v>
      </c>
    </row>
    <row r="662" spans="1:7" x14ac:dyDescent="0.25">
      <c r="A662" t="s">
        <v>230</v>
      </c>
      <c r="B662">
        <v>166</v>
      </c>
      <c r="C662">
        <v>27</v>
      </c>
      <c r="D662">
        <v>2</v>
      </c>
      <c r="E662" t="s">
        <v>8</v>
      </c>
      <c r="F662" t="s">
        <v>73</v>
      </c>
      <c r="G662" t="s">
        <v>14</v>
      </c>
    </row>
    <row r="663" spans="1:7" x14ac:dyDescent="0.25">
      <c r="A663" t="s">
        <v>52</v>
      </c>
      <c r="B663">
        <v>109</v>
      </c>
      <c r="C663">
        <v>-6</v>
      </c>
      <c r="D663">
        <v>6</v>
      </c>
      <c r="E663" t="s">
        <v>23</v>
      </c>
      <c r="F663" t="s">
        <v>26</v>
      </c>
      <c r="G663" t="s">
        <v>10</v>
      </c>
    </row>
    <row r="664" spans="1:7" x14ac:dyDescent="0.25">
      <c r="A664" t="s">
        <v>308</v>
      </c>
      <c r="B664">
        <v>34</v>
      </c>
      <c r="C664">
        <v>-6</v>
      </c>
      <c r="D664">
        <v>4</v>
      </c>
      <c r="E664" t="s">
        <v>23</v>
      </c>
      <c r="F664" t="s">
        <v>63</v>
      </c>
      <c r="G664" t="s">
        <v>10</v>
      </c>
    </row>
    <row r="665" spans="1:7" x14ac:dyDescent="0.25">
      <c r="A665" t="s">
        <v>292</v>
      </c>
      <c r="B665">
        <v>109</v>
      </c>
      <c r="C665">
        <v>40</v>
      </c>
      <c r="D665">
        <v>1</v>
      </c>
      <c r="E665" t="s">
        <v>12</v>
      </c>
      <c r="F665" t="s">
        <v>131</v>
      </c>
      <c r="G665" t="s">
        <v>10</v>
      </c>
    </row>
    <row r="666" spans="1:7" x14ac:dyDescent="0.25">
      <c r="A666" t="s">
        <v>71</v>
      </c>
      <c r="B666">
        <v>108</v>
      </c>
      <c r="C666">
        <v>22</v>
      </c>
      <c r="D666">
        <v>3</v>
      </c>
      <c r="E666" t="s">
        <v>8</v>
      </c>
      <c r="F666" t="s">
        <v>73</v>
      </c>
      <c r="G666" t="s">
        <v>10</v>
      </c>
    </row>
    <row r="667" spans="1:7" x14ac:dyDescent="0.25">
      <c r="A667" t="s">
        <v>310</v>
      </c>
      <c r="B667">
        <v>103</v>
      </c>
      <c r="C667">
        <v>50</v>
      </c>
      <c r="D667">
        <v>2</v>
      </c>
      <c r="E667" t="s">
        <v>12</v>
      </c>
      <c r="F667" t="s">
        <v>131</v>
      </c>
      <c r="G667" t="s">
        <v>28</v>
      </c>
    </row>
    <row r="668" spans="1:7" x14ac:dyDescent="0.25">
      <c r="A668" t="s">
        <v>210</v>
      </c>
      <c r="B668">
        <v>10</v>
      </c>
      <c r="C668">
        <v>-8</v>
      </c>
      <c r="D668">
        <v>2</v>
      </c>
      <c r="E668" t="s">
        <v>23</v>
      </c>
      <c r="F668" t="s">
        <v>43</v>
      </c>
      <c r="G668" t="s">
        <v>10</v>
      </c>
    </row>
    <row r="669" spans="1:7" x14ac:dyDescent="0.25">
      <c r="A669" t="s">
        <v>171</v>
      </c>
      <c r="B669">
        <v>90</v>
      </c>
      <c r="C669">
        <v>17</v>
      </c>
      <c r="D669">
        <v>3</v>
      </c>
      <c r="E669" t="s">
        <v>23</v>
      </c>
      <c r="F669" t="s">
        <v>30</v>
      </c>
      <c r="G669" t="s">
        <v>10</v>
      </c>
    </row>
    <row r="670" spans="1:7" x14ac:dyDescent="0.25">
      <c r="A670" t="s">
        <v>205</v>
      </c>
      <c r="B670">
        <v>105</v>
      </c>
      <c r="C670">
        <v>46</v>
      </c>
      <c r="D670">
        <v>2</v>
      </c>
      <c r="E670" t="s">
        <v>23</v>
      </c>
      <c r="F670" t="s">
        <v>57</v>
      </c>
      <c r="G670" t="s">
        <v>28</v>
      </c>
    </row>
    <row r="671" spans="1:7" x14ac:dyDescent="0.25">
      <c r="A671" t="s">
        <v>336</v>
      </c>
      <c r="B671">
        <v>105</v>
      </c>
      <c r="C671">
        <v>20</v>
      </c>
      <c r="D671">
        <v>2</v>
      </c>
      <c r="E671" t="s">
        <v>23</v>
      </c>
      <c r="F671" t="s">
        <v>57</v>
      </c>
      <c r="G671" t="s">
        <v>82</v>
      </c>
    </row>
    <row r="672" spans="1:7" x14ac:dyDescent="0.25">
      <c r="A672" t="s">
        <v>369</v>
      </c>
      <c r="B672">
        <v>22</v>
      </c>
      <c r="C672">
        <v>-6</v>
      </c>
      <c r="D672">
        <v>1</v>
      </c>
      <c r="E672" t="s">
        <v>12</v>
      </c>
      <c r="F672" t="s">
        <v>131</v>
      </c>
      <c r="G672" t="s">
        <v>10</v>
      </c>
    </row>
    <row r="673" spans="1:7" x14ac:dyDescent="0.25">
      <c r="A673" t="s">
        <v>113</v>
      </c>
      <c r="B673">
        <v>105</v>
      </c>
      <c r="C673">
        <v>-33</v>
      </c>
      <c r="D673">
        <v>5</v>
      </c>
      <c r="E673" t="s">
        <v>23</v>
      </c>
      <c r="F673" t="s">
        <v>32</v>
      </c>
      <c r="G673" t="s">
        <v>10</v>
      </c>
    </row>
    <row r="674" spans="1:7" x14ac:dyDescent="0.25">
      <c r="A674" t="s">
        <v>370</v>
      </c>
      <c r="B674">
        <v>105</v>
      </c>
      <c r="C674">
        <v>25</v>
      </c>
      <c r="D674">
        <v>2</v>
      </c>
      <c r="E674" t="s">
        <v>23</v>
      </c>
      <c r="F674" t="s">
        <v>30</v>
      </c>
      <c r="G674" t="s">
        <v>14</v>
      </c>
    </row>
    <row r="675" spans="1:7" x14ac:dyDescent="0.25">
      <c r="A675" t="s">
        <v>371</v>
      </c>
      <c r="B675">
        <v>25</v>
      </c>
      <c r="C675">
        <v>-7</v>
      </c>
      <c r="D675">
        <v>5</v>
      </c>
      <c r="E675" t="s">
        <v>23</v>
      </c>
      <c r="F675" t="s">
        <v>26</v>
      </c>
      <c r="G675" t="s">
        <v>28</v>
      </c>
    </row>
    <row r="676" spans="1:7" x14ac:dyDescent="0.25">
      <c r="A676" t="s">
        <v>310</v>
      </c>
      <c r="B676">
        <v>104</v>
      </c>
      <c r="C676">
        <v>2</v>
      </c>
      <c r="D676">
        <v>2</v>
      </c>
      <c r="E676" t="s">
        <v>12</v>
      </c>
      <c r="F676" t="s">
        <v>131</v>
      </c>
      <c r="G676" t="s">
        <v>10</v>
      </c>
    </row>
    <row r="677" spans="1:7" x14ac:dyDescent="0.25">
      <c r="A677" t="s">
        <v>372</v>
      </c>
      <c r="B677">
        <v>16</v>
      </c>
      <c r="C677">
        <v>5</v>
      </c>
      <c r="D677">
        <v>1</v>
      </c>
      <c r="E677" t="s">
        <v>23</v>
      </c>
      <c r="F677" t="s">
        <v>57</v>
      </c>
      <c r="G677" t="s">
        <v>28</v>
      </c>
    </row>
    <row r="678" spans="1:7" x14ac:dyDescent="0.25">
      <c r="A678" t="s">
        <v>215</v>
      </c>
      <c r="B678">
        <v>64</v>
      </c>
      <c r="C678">
        <v>-7</v>
      </c>
      <c r="D678">
        <v>3</v>
      </c>
      <c r="E678" t="s">
        <v>23</v>
      </c>
      <c r="F678" t="s">
        <v>26</v>
      </c>
      <c r="G678" t="s">
        <v>10</v>
      </c>
    </row>
    <row r="679" spans="1:7" x14ac:dyDescent="0.25">
      <c r="A679" t="s">
        <v>373</v>
      </c>
      <c r="B679">
        <v>38</v>
      </c>
      <c r="C679">
        <v>-6</v>
      </c>
      <c r="D679">
        <v>2</v>
      </c>
      <c r="E679" t="s">
        <v>12</v>
      </c>
      <c r="F679" t="s">
        <v>131</v>
      </c>
      <c r="G679" t="s">
        <v>28</v>
      </c>
    </row>
    <row r="680" spans="1:7" x14ac:dyDescent="0.25">
      <c r="A680" t="s">
        <v>374</v>
      </c>
      <c r="B680">
        <v>83</v>
      </c>
      <c r="C680">
        <v>12</v>
      </c>
      <c r="D680">
        <v>2</v>
      </c>
      <c r="E680" t="s">
        <v>12</v>
      </c>
      <c r="F680" t="s">
        <v>13</v>
      </c>
      <c r="G680" t="s">
        <v>10</v>
      </c>
    </row>
    <row r="681" spans="1:7" x14ac:dyDescent="0.25">
      <c r="A681" t="s">
        <v>191</v>
      </c>
      <c r="B681">
        <v>103</v>
      </c>
      <c r="C681">
        <v>36</v>
      </c>
      <c r="D681">
        <v>2</v>
      </c>
      <c r="E681" t="s">
        <v>23</v>
      </c>
      <c r="F681" t="s">
        <v>30</v>
      </c>
      <c r="G681" t="s">
        <v>10</v>
      </c>
    </row>
    <row r="682" spans="1:7" x14ac:dyDescent="0.25">
      <c r="A682" t="s">
        <v>163</v>
      </c>
      <c r="B682">
        <v>37</v>
      </c>
      <c r="C682">
        <v>-6</v>
      </c>
      <c r="D682">
        <v>1</v>
      </c>
      <c r="E682" t="s">
        <v>23</v>
      </c>
      <c r="F682" t="s">
        <v>26</v>
      </c>
      <c r="G682" t="s">
        <v>28</v>
      </c>
    </row>
    <row r="683" spans="1:7" x14ac:dyDescent="0.25">
      <c r="A683" t="s">
        <v>375</v>
      </c>
      <c r="B683">
        <v>105</v>
      </c>
      <c r="C683">
        <v>33</v>
      </c>
      <c r="D683">
        <v>6</v>
      </c>
      <c r="E683" t="s">
        <v>23</v>
      </c>
      <c r="F683" t="s">
        <v>26</v>
      </c>
      <c r="G683" t="s">
        <v>14</v>
      </c>
    </row>
    <row r="684" spans="1:7" x14ac:dyDescent="0.25">
      <c r="A684" t="s">
        <v>141</v>
      </c>
      <c r="B684">
        <v>78</v>
      </c>
      <c r="C684">
        <v>-6</v>
      </c>
      <c r="D684">
        <v>2</v>
      </c>
      <c r="E684" t="s">
        <v>12</v>
      </c>
      <c r="F684" t="s">
        <v>131</v>
      </c>
      <c r="G684" t="s">
        <v>28</v>
      </c>
    </row>
    <row r="685" spans="1:7" x14ac:dyDescent="0.25">
      <c r="A685" t="s">
        <v>37</v>
      </c>
      <c r="B685">
        <v>102</v>
      </c>
      <c r="C685">
        <v>-90</v>
      </c>
      <c r="D685">
        <v>1</v>
      </c>
      <c r="E685" t="s">
        <v>23</v>
      </c>
      <c r="F685" t="s">
        <v>26</v>
      </c>
      <c r="G685" t="s">
        <v>10</v>
      </c>
    </row>
    <row r="686" spans="1:7" x14ac:dyDescent="0.25">
      <c r="A686" t="s">
        <v>376</v>
      </c>
      <c r="B686">
        <v>102</v>
      </c>
      <c r="C686">
        <v>11</v>
      </c>
      <c r="D686">
        <v>6</v>
      </c>
      <c r="E686" t="s">
        <v>23</v>
      </c>
      <c r="F686" t="s">
        <v>81</v>
      </c>
      <c r="G686" t="s">
        <v>10</v>
      </c>
    </row>
    <row r="687" spans="1:7" x14ac:dyDescent="0.25">
      <c r="A687" t="s">
        <v>262</v>
      </c>
      <c r="B687">
        <v>10</v>
      </c>
      <c r="C687">
        <v>-8</v>
      </c>
      <c r="D687">
        <v>1</v>
      </c>
      <c r="E687" t="s">
        <v>23</v>
      </c>
      <c r="F687" t="s">
        <v>32</v>
      </c>
      <c r="G687" t="s">
        <v>28</v>
      </c>
    </row>
    <row r="688" spans="1:7" x14ac:dyDescent="0.25">
      <c r="A688" t="s">
        <v>123</v>
      </c>
      <c r="B688">
        <v>101</v>
      </c>
      <c r="C688">
        <v>18</v>
      </c>
      <c r="D688">
        <v>9</v>
      </c>
      <c r="E688" t="s">
        <v>23</v>
      </c>
      <c r="F688" t="s">
        <v>43</v>
      </c>
      <c r="G688" t="s">
        <v>10</v>
      </c>
    </row>
    <row r="689" spans="1:7" x14ac:dyDescent="0.25">
      <c r="A689" t="s">
        <v>377</v>
      </c>
      <c r="B689">
        <v>42</v>
      </c>
      <c r="C689">
        <v>-6</v>
      </c>
      <c r="D689">
        <v>4</v>
      </c>
      <c r="E689" t="s">
        <v>23</v>
      </c>
      <c r="F689" t="s">
        <v>26</v>
      </c>
      <c r="G689" t="s">
        <v>28</v>
      </c>
    </row>
    <row r="690" spans="1:7" x14ac:dyDescent="0.25">
      <c r="A690" t="s">
        <v>271</v>
      </c>
      <c r="B690">
        <v>56</v>
      </c>
      <c r="C690">
        <v>18</v>
      </c>
      <c r="D690">
        <v>2</v>
      </c>
      <c r="E690" t="s">
        <v>23</v>
      </c>
      <c r="F690" t="s">
        <v>30</v>
      </c>
      <c r="G690" t="s">
        <v>28</v>
      </c>
    </row>
    <row r="691" spans="1:7" x14ac:dyDescent="0.25">
      <c r="A691" t="s">
        <v>371</v>
      </c>
      <c r="B691">
        <v>95</v>
      </c>
      <c r="C691">
        <v>5</v>
      </c>
      <c r="D691">
        <v>2</v>
      </c>
      <c r="E691" t="s">
        <v>23</v>
      </c>
      <c r="F691" t="s">
        <v>57</v>
      </c>
      <c r="G691" t="s">
        <v>10</v>
      </c>
    </row>
    <row r="692" spans="1:7" x14ac:dyDescent="0.25">
      <c r="A692" t="s">
        <v>378</v>
      </c>
      <c r="B692">
        <v>159</v>
      </c>
      <c r="C692">
        <v>2</v>
      </c>
      <c r="D692">
        <v>3</v>
      </c>
      <c r="E692" t="s">
        <v>12</v>
      </c>
      <c r="F692" t="s">
        <v>131</v>
      </c>
      <c r="G692" t="s">
        <v>14</v>
      </c>
    </row>
    <row r="693" spans="1:7" x14ac:dyDescent="0.25">
      <c r="A693" t="s">
        <v>336</v>
      </c>
      <c r="B693">
        <v>158</v>
      </c>
      <c r="C693">
        <v>69</v>
      </c>
      <c r="D693">
        <v>3</v>
      </c>
      <c r="E693" t="s">
        <v>23</v>
      </c>
      <c r="F693" t="s">
        <v>57</v>
      </c>
      <c r="G693" t="s">
        <v>14</v>
      </c>
    </row>
    <row r="694" spans="1:7" x14ac:dyDescent="0.25">
      <c r="A694" t="s">
        <v>262</v>
      </c>
      <c r="B694">
        <v>106</v>
      </c>
      <c r="C694">
        <v>0</v>
      </c>
      <c r="D694">
        <v>2</v>
      </c>
      <c r="E694" t="s">
        <v>8</v>
      </c>
      <c r="F694" t="s">
        <v>21</v>
      </c>
      <c r="G694" t="s">
        <v>14</v>
      </c>
    </row>
    <row r="695" spans="1:7" x14ac:dyDescent="0.25">
      <c r="A695" t="s">
        <v>122</v>
      </c>
      <c r="B695">
        <v>101</v>
      </c>
      <c r="C695">
        <v>16</v>
      </c>
      <c r="D695">
        <v>4</v>
      </c>
      <c r="E695" t="s">
        <v>23</v>
      </c>
      <c r="F695" t="s">
        <v>81</v>
      </c>
      <c r="G695" t="s">
        <v>10</v>
      </c>
    </row>
    <row r="696" spans="1:7" x14ac:dyDescent="0.25">
      <c r="A696" t="s">
        <v>184</v>
      </c>
      <c r="B696">
        <v>107</v>
      </c>
      <c r="C696">
        <v>37</v>
      </c>
      <c r="D696">
        <v>3</v>
      </c>
      <c r="E696" t="s">
        <v>23</v>
      </c>
      <c r="F696" t="s">
        <v>142</v>
      </c>
      <c r="G696" t="s">
        <v>10</v>
      </c>
    </row>
    <row r="697" spans="1:7" x14ac:dyDescent="0.25">
      <c r="A697" t="s">
        <v>379</v>
      </c>
      <c r="B697">
        <v>156</v>
      </c>
      <c r="C697">
        <v>36</v>
      </c>
      <c r="D697">
        <v>5</v>
      </c>
      <c r="E697" t="s">
        <v>23</v>
      </c>
      <c r="F697" t="s">
        <v>81</v>
      </c>
      <c r="G697" t="s">
        <v>14</v>
      </c>
    </row>
    <row r="698" spans="1:7" x14ac:dyDescent="0.25">
      <c r="A698" t="s">
        <v>380</v>
      </c>
      <c r="B698">
        <v>108</v>
      </c>
      <c r="C698">
        <v>-19</v>
      </c>
      <c r="D698">
        <v>3</v>
      </c>
      <c r="E698" t="s">
        <v>8</v>
      </c>
      <c r="F698" t="s">
        <v>9</v>
      </c>
      <c r="G698" t="s">
        <v>28</v>
      </c>
    </row>
    <row r="699" spans="1:7" x14ac:dyDescent="0.25">
      <c r="A699" t="s">
        <v>265</v>
      </c>
      <c r="B699">
        <v>107</v>
      </c>
      <c r="C699">
        <v>-54</v>
      </c>
      <c r="D699">
        <v>4</v>
      </c>
      <c r="E699" t="s">
        <v>23</v>
      </c>
      <c r="F699" t="s">
        <v>57</v>
      </c>
      <c r="G699" t="s">
        <v>14</v>
      </c>
    </row>
    <row r="700" spans="1:7" x14ac:dyDescent="0.25">
      <c r="A700" t="s">
        <v>381</v>
      </c>
      <c r="B700">
        <v>100</v>
      </c>
      <c r="C700">
        <v>-58</v>
      </c>
      <c r="D700">
        <v>4</v>
      </c>
      <c r="E700" t="s">
        <v>23</v>
      </c>
      <c r="F700" t="s">
        <v>30</v>
      </c>
      <c r="G700" t="s">
        <v>10</v>
      </c>
    </row>
    <row r="701" spans="1:7" x14ac:dyDescent="0.25">
      <c r="A701" t="s">
        <v>281</v>
      </c>
      <c r="B701">
        <v>108</v>
      </c>
      <c r="C701">
        <v>26</v>
      </c>
      <c r="D701">
        <v>4</v>
      </c>
      <c r="E701" t="s">
        <v>23</v>
      </c>
      <c r="F701" t="s">
        <v>142</v>
      </c>
      <c r="G701" t="s">
        <v>28</v>
      </c>
    </row>
    <row r="702" spans="1:7" x14ac:dyDescent="0.25">
      <c r="A702" t="s">
        <v>382</v>
      </c>
      <c r="B702">
        <v>100</v>
      </c>
      <c r="C702">
        <v>6</v>
      </c>
      <c r="D702">
        <v>4</v>
      </c>
      <c r="E702" t="s">
        <v>23</v>
      </c>
      <c r="F702" t="s">
        <v>57</v>
      </c>
      <c r="G702" t="s">
        <v>10</v>
      </c>
    </row>
    <row r="703" spans="1:7" x14ac:dyDescent="0.25">
      <c r="A703" t="s">
        <v>218</v>
      </c>
      <c r="B703">
        <v>100</v>
      </c>
      <c r="C703">
        <v>-23</v>
      </c>
      <c r="D703">
        <v>1</v>
      </c>
      <c r="E703" t="s">
        <v>8</v>
      </c>
      <c r="F703" t="s">
        <v>21</v>
      </c>
      <c r="G703" t="s">
        <v>10</v>
      </c>
    </row>
    <row r="704" spans="1:7" x14ac:dyDescent="0.25">
      <c r="A704" t="s">
        <v>126</v>
      </c>
      <c r="B704">
        <v>43</v>
      </c>
      <c r="C704">
        <v>17</v>
      </c>
      <c r="D704">
        <v>2</v>
      </c>
      <c r="E704" t="s">
        <v>23</v>
      </c>
      <c r="F704" t="s">
        <v>81</v>
      </c>
      <c r="G704" t="s">
        <v>28</v>
      </c>
    </row>
    <row r="705" spans="1:7" x14ac:dyDescent="0.25">
      <c r="A705" t="s">
        <v>199</v>
      </c>
      <c r="B705">
        <v>155</v>
      </c>
      <c r="C705">
        <v>26</v>
      </c>
      <c r="D705">
        <v>3</v>
      </c>
      <c r="E705" t="s">
        <v>23</v>
      </c>
      <c r="F705" t="s">
        <v>57</v>
      </c>
      <c r="G705" t="s">
        <v>14</v>
      </c>
    </row>
    <row r="706" spans="1:7" x14ac:dyDescent="0.25">
      <c r="A706" t="s">
        <v>383</v>
      </c>
      <c r="B706">
        <v>151</v>
      </c>
      <c r="C706">
        <v>9</v>
      </c>
      <c r="D706">
        <v>3</v>
      </c>
      <c r="E706" t="s">
        <v>23</v>
      </c>
      <c r="F706" t="s">
        <v>30</v>
      </c>
      <c r="G706" t="s">
        <v>14</v>
      </c>
    </row>
    <row r="707" spans="1:7" x14ac:dyDescent="0.25">
      <c r="A707" t="s">
        <v>165</v>
      </c>
      <c r="B707">
        <v>151</v>
      </c>
      <c r="C707">
        <v>29</v>
      </c>
      <c r="D707">
        <v>5</v>
      </c>
      <c r="E707" t="s">
        <v>23</v>
      </c>
      <c r="F707" t="s">
        <v>30</v>
      </c>
      <c r="G707" t="s">
        <v>14</v>
      </c>
    </row>
    <row r="708" spans="1:7" x14ac:dyDescent="0.25">
      <c r="A708" t="s">
        <v>38</v>
      </c>
      <c r="B708">
        <v>110</v>
      </c>
      <c r="C708">
        <v>-68</v>
      </c>
      <c r="D708">
        <v>4</v>
      </c>
      <c r="E708" t="s">
        <v>23</v>
      </c>
      <c r="F708" t="s">
        <v>26</v>
      </c>
      <c r="G708" t="s">
        <v>14</v>
      </c>
    </row>
    <row r="709" spans="1:7" x14ac:dyDescent="0.25">
      <c r="A709" t="s">
        <v>104</v>
      </c>
      <c r="B709">
        <v>98</v>
      </c>
      <c r="C709">
        <v>9</v>
      </c>
      <c r="D709">
        <v>2</v>
      </c>
      <c r="E709" t="s">
        <v>12</v>
      </c>
      <c r="F709" t="s">
        <v>131</v>
      </c>
      <c r="G709" t="s">
        <v>10</v>
      </c>
    </row>
    <row r="710" spans="1:7" x14ac:dyDescent="0.25">
      <c r="A710" t="s">
        <v>38</v>
      </c>
      <c r="B710">
        <v>97</v>
      </c>
      <c r="C710">
        <v>-62</v>
      </c>
      <c r="D710">
        <v>2</v>
      </c>
      <c r="E710" t="s">
        <v>23</v>
      </c>
      <c r="F710" t="s">
        <v>24</v>
      </c>
      <c r="G710" t="s">
        <v>10</v>
      </c>
    </row>
    <row r="711" spans="1:7" x14ac:dyDescent="0.25">
      <c r="A711" t="s">
        <v>124</v>
      </c>
      <c r="B711">
        <v>111</v>
      </c>
      <c r="C711">
        <v>35</v>
      </c>
      <c r="D711">
        <v>5</v>
      </c>
      <c r="E711" t="s">
        <v>23</v>
      </c>
      <c r="F711" t="s">
        <v>142</v>
      </c>
      <c r="G711" t="s">
        <v>10</v>
      </c>
    </row>
    <row r="712" spans="1:7" x14ac:dyDescent="0.25">
      <c r="A712" t="s">
        <v>297</v>
      </c>
      <c r="B712">
        <v>45</v>
      </c>
      <c r="C712">
        <v>17</v>
      </c>
      <c r="D712">
        <v>1</v>
      </c>
      <c r="E712" t="s">
        <v>8</v>
      </c>
      <c r="F712" t="s">
        <v>73</v>
      </c>
      <c r="G712" t="s">
        <v>10</v>
      </c>
    </row>
    <row r="713" spans="1:7" x14ac:dyDescent="0.25">
      <c r="A713" t="s">
        <v>384</v>
      </c>
      <c r="B713">
        <v>112</v>
      </c>
      <c r="C713">
        <v>15</v>
      </c>
      <c r="D713">
        <v>2</v>
      </c>
      <c r="E713" t="s">
        <v>12</v>
      </c>
      <c r="F713" t="s">
        <v>13</v>
      </c>
      <c r="G713" t="s">
        <v>10</v>
      </c>
    </row>
    <row r="714" spans="1:7" x14ac:dyDescent="0.25">
      <c r="A714" t="s">
        <v>15</v>
      </c>
      <c r="B714">
        <v>110</v>
      </c>
      <c r="C714">
        <v>20</v>
      </c>
      <c r="D714">
        <v>5</v>
      </c>
      <c r="E714" t="s">
        <v>23</v>
      </c>
      <c r="F714" t="s">
        <v>57</v>
      </c>
      <c r="G714" t="s">
        <v>82</v>
      </c>
    </row>
    <row r="715" spans="1:7" x14ac:dyDescent="0.25">
      <c r="A715" t="s">
        <v>91</v>
      </c>
      <c r="B715">
        <v>98</v>
      </c>
      <c r="C715">
        <v>-5</v>
      </c>
      <c r="D715">
        <v>2</v>
      </c>
      <c r="E715" t="s">
        <v>23</v>
      </c>
      <c r="F715" t="s">
        <v>26</v>
      </c>
      <c r="G715" t="s">
        <v>28</v>
      </c>
    </row>
    <row r="716" spans="1:7" x14ac:dyDescent="0.25">
      <c r="A716" t="s">
        <v>385</v>
      </c>
      <c r="B716">
        <v>110</v>
      </c>
      <c r="C716">
        <v>12</v>
      </c>
      <c r="D716">
        <v>7</v>
      </c>
      <c r="E716" t="s">
        <v>23</v>
      </c>
      <c r="F716" t="s">
        <v>57</v>
      </c>
      <c r="G716" t="s">
        <v>82</v>
      </c>
    </row>
    <row r="717" spans="1:7" x14ac:dyDescent="0.25">
      <c r="A717" t="s">
        <v>41</v>
      </c>
      <c r="B717">
        <v>95</v>
      </c>
      <c r="C717">
        <v>11</v>
      </c>
      <c r="D717">
        <v>4</v>
      </c>
      <c r="E717" t="s">
        <v>12</v>
      </c>
      <c r="F717" t="s">
        <v>131</v>
      </c>
      <c r="G717" t="s">
        <v>10</v>
      </c>
    </row>
    <row r="718" spans="1:7" x14ac:dyDescent="0.25">
      <c r="A718" t="s">
        <v>216</v>
      </c>
      <c r="B718">
        <v>1228</v>
      </c>
      <c r="C718">
        <v>14</v>
      </c>
      <c r="D718">
        <v>3</v>
      </c>
      <c r="E718" t="s">
        <v>12</v>
      </c>
      <c r="F718" t="s">
        <v>13</v>
      </c>
      <c r="G718" t="s">
        <v>28</v>
      </c>
    </row>
    <row r="719" spans="1:7" x14ac:dyDescent="0.25">
      <c r="A719" t="s">
        <v>285</v>
      </c>
      <c r="B719">
        <v>29</v>
      </c>
      <c r="C719">
        <v>0</v>
      </c>
      <c r="D719">
        <v>3</v>
      </c>
      <c r="E719" t="s">
        <v>12</v>
      </c>
      <c r="F719" t="s">
        <v>131</v>
      </c>
      <c r="G719" t="s">
        <v>10</v>
      </c>
    </row>
    <row r="720" spans="1:7" x14ac:dyDescent="0.25">
      <c r="A720" t="s">
        <v>11</v>
      </c>
      <c r="B720">
        <v>94</v>
      </c>
      <c r="C720">
        <v>27</v>
      </c>
      <c r="D720">
        <v>2</v>
      </c>
      <c r="E720" t="s">
        <v>23</v>
      </c>
      <c r="F720" t="s">
        <v>81</v>
      </c>
      <c r="G720" t="s">
        <v>10</v>
      </c>
    </row>
    <row r="721" spans="1:7" x14ac:dyDescent="0.25">
      <c r="A721" t="s">
        <v>117</v>
      </c>
      <c r="B721">
        <v>115</v>
      </c>
      <c r="C721">
        <v>25</v>
      </c>
      <c r="D721">
        <v>1</v>
      </c>
      <c r="E721" t="s">
        <v>8</v>
      </c>
      <c r="F721" t="s">
        <v>73</v>
      </c>
      <c r="G721" t="s">
        <v>10</v>
      </c>
    </row>
    <row r="722" spans="1:7" x14ac:dyDescent="0.25">
      <c r="A722" t="s">
        <v>202</v>
      </c>
      <c r="B722">
        <v>149</v>
      </c>
      <c r="C722">
        <v>15</v>
      </c>
      <c r="D722">
        <v>3</v>
      </c>
      <c r="E722" t="s">
        <v>23</v>
      </c>
      <c r="F722" t="s">
        <v>26</v>
      </c>
      <c r="G722" t="s">
        <v>14</v>
      </c>
    </row>
    <row r="723" spans="1:7" x14ac:dyDescent="0.25">
      <c r="A723" t="s">
        <v>122</v>
      </c>
      <c r="B723">
        <v>148</v>
      </c>
      <c r="C723">
        <v>23</v>
      </c>
      <c r="D723">
        <v>4</v>
      </c>
      <c r="E723" t="s">
        <v>23</v>
      </c>
      <c r="F723" t="s">
        <v>32</v>
      </c>
      <c r="G723" t="s">
        <v>14</v>
      </c>
    </row>
    <row r="724" spans="1:7" x14ac:dyDescent="0.25">
      <c r="A724" t="s">
        <v>50</v>
      </c>
      <c r="B724">
        <v>93</v>
      </c>
      <c r="C724">
        <v>15</v>
      </c>
      <c r="D724">
        <v>2</v>
      </c>
      <c r="E724" t="s">
        <v>8</v>
      </c>
      <c r="F724" t="s">
        <v>73</v>
      </c>
      <c r="G724" t="s">
        <v>10</v>
      </c>
    </row>
    <row r="725" spans="1:7" x14ac:dyDescent="0.25">
      <c r="A725" t="s">
        <v>361</v>
      </c>
      <c r="B725">
        <v>113</v>
      </c>
      <c r="C725">
        <v>24</v>
      </c>
      <c r="D725">
        <v>4</v>
      </c>
      <c r="E725" t="s">
        <v>23</v>
      </c>
      <c r="F725" t="s">
        <v>30</v>
      </c>
      <c r="G725" t="s">
        <v>82</v>
      </c>
    </row>
    <row r="726" spans="1:7" x14ac:dyDescent="0.25">
      <c r="A726" t="s">
        <v>264</v>
      </c>
      <c r="B726">
        <v>48</v>
      </c>
      <c r="C726">
        <v>2</v>
      </c>
      <c r="D726">
        <v>3</v>
      </c>
      <c r="E726" t="s">
        <v>23</v>
      </c>
      <c r="F726" t="s">
        <v>57</v>
      </c>
      <c r="G726" t="s">
        <v>10</v>
      </c>
    </row>
    <row r="727" spans="1:7" x14ac:dyDescent="0.25">
      <c r="A727" t="s">
        <v>328</v>
      </c>
      <c r="B727">
        <v>148</v>
      </c>
      <c r="C727">
        <v>9</v>
      </c>
      <c r="D727">
        <v>1</v>
      </c>
      <c r="E727" t="s">
        <v>8</v>
      </c>
      <c r="F727" t="s">
        <v>9</v>
      </c>
      <c r="G727" t="s">
        <v>28</v>
      </c>
    </row>
    <row r="728" spans="1:7" x14ac:dyDescent="0.25">
      <c r="A728" t="s">
        <v>386</v>
      </c>
      <c r="B728">
        <v>114</v>
      </c>
      <c r="C728">
        <v>11</v>
      </c>
      <c r="D728">
        <v>4</v>
      </c>
      <c r="E728" t="s">
        <v>23</v>
      </c>
      <c r="F728" t="s">
        <v>81</v>
      </c>
      <c r="G728" t="s">
        <v>82</v>
      </c>
    </row>
    <row r="729" spans="1:7" x14ac:dyDescent="0.25">
      <c r="A729" t="s">
        <v>79</v>
      </c>
      <c r="B729">
        <v>92</v>
      </c>
      <c r="C729">
        <v>42</v>
      </c>
      <c r="D729">
        <v>2</v>
      </c>
      <c r="E729" t="s">
        <v>23</v>
      </c>
      <c r="F729" t="s">
        <v>57</v>
      </c>
      <c r="G729" t="s">
        <v>10</v>
      </c>
    </row>
    <row r="730" spans="1:7" x14ac:dyDescent="0.25">
      <c r="A730" t="s">
        <v>387</v>
      </c>
      <c r="B730">
        <v>117</v>
      </c>
      <c r="C730">
        <v>14</v>
      </c>
      <c r="D730">
        <v>3</v>
      </c>
      <c r="E730" t="s">
        <v>23</v>
      </c>
      <c r="F730" t="s">
        <v>142</v>
      </c>
      <c r="G730" t="s">
        <v>28</v>
      </c>
    </row>
    <row r="731" spans="1:7" x14ac:dyDescent="0.25">
      <c r="A731" t="s">
        <v>80</v>
      </c>
      <c r="B731">
        <v>21</v>
      </c>
      <c r="C731">
        <v>-10</v>
      </c>
      <c r="D731">
        <v>4</v>
      </c>
      <c r="E731" t="s">
        <v>23</v>
      </c>
      <c r="F731" t="s">
        <v>63</v>
      </c>
      <c r="G731" t="s">
        <v>10</v>
      </c>
    </row>
    <row r="732" spans="1:7" x14ac:dyDescent="0.25">
      <c r="A732" t="s">
        <v>388</v>
      </c>
      <c r="B732">
        <v>33</v>
      </c>
      <c r="C732">
        <v>-10</v>
      </c>
      <c r="D732">
        <v>6</v>
      </c>
      <c r="E732" t="s">
        <v>23</v>
      </c>
      <c r="F732" t="s">
        <v>63</v>
      </c>
      <c r="G732" t="s">
        <v>28</v>
      </c>
    </row>
    <row r="733" spans="1:7" x14ac:dyDescent="0.25">
      <c r="A733" t="s">
        <v>99</v>
      </c>
      <c r="B733">
        <v>114</v>
      </c>
      <c r="C733">
        <v>8</v>
      </c>
      <c r="D733">
        <v>3</v>
      </c>
      <c r="E733" t="s">
        <v>8</v>
      </c>
      <c r="F733" t="s">
        <v>73</v>
      </c>
      <c r="G733" t="s">
        <v>82</v>
      </c>
    </row>
    <row r="734" spans="1:7" x14ac:dyDescent="0.25">
      <c r="A734" t="s">
        <v>204</v>
      </c>
      <c r="B734">
        <v>115</v>
      </c>
      <c r="C734">
        <v>0</v>
      </c>
      <c r="D734">
        <v>1</v>
      </c>
      <c r="E734" t="s">
        <v>8</v>
      </c>
      <c r="F734" t="s">
        <v>73</v>
      </c>
      <c r="G734" t="s">
        <v>82</v>
      </c>
    </row>
    <row r="735" spans="1:7" x14ac:dyDescent="0.25">
      <c r="A735" t="s">
        <v>31</v>
      </c>
      <c r="B735">
        <v>90</v>
      </c>
      <c r="C735">
        <v>29</v>
      </c>
      <c r="D735">
        <v>5</v>
      </c>
      <c r="E735" t="s">
        <v>23</v>
      </c>
      <c r="F735" t="s">
        <v>81</v>
      </c>
      <c r="G735" t="s">
        <v>10</v>
      </c>
    </row>
    <row r="736" spans="1:7" x14ac:dyDescent="0.25">
      <c r="A736" t="s">
        <v>389</v>
      </c>
      <c r="B736">
        <v>61</v>
      </c>
      <c r="C736">
        <v>1</v>
      </c>
      <c r="D736">
        <v>2</v>
      </c>
      <c r="E736" t="s">
        <v>12</v>
      </c>
      <c r="F736" t="s">
        <v>131</v>
      </c>
      <c r="G736" t="s">
        <v>10</v>
      </c>
    </row>
    <row r="737" spans="1:7" x14ac:dyDescent="0.25">
      <c r="A737" t="s">
        <v>390</v>
      </c>
      <c r="B737">
        <v>119</v>
      </c>
      <c r="C737">
        <v>1</v>
      </c>
      <c r="D737">
        <v>1</v>
      </c>
      <c r="E737" t="s">
        <v>12</v>
      </c>
      <c r="F737" t="s">
        <v>13</v>
      </c>
      <c r="G737" t="s">
        <v>10</v>
      </c>
    </row>
    <row r="738" spans="1:7" x14ac:dyDescent="0.25">
      <c r="A738" t="s">
        <v>111</v>
      </c>
      <c r="B738">
        <v>117</v>
      </c>
      <c r="C738">
        <v>36</v>
      </c>
      <c r="D738">
        <v>2</v>
      </c>
      <c r="E738" t="s">
        <v>23</v>
      </c>
      <c r="F738" t="s">
        <v>24</v>
      </c>
      <c r="G738" t="s">
        <v>82</v>
      </c>
    </row>
    <row r="739" spans="1:7" x14ac:dyDescent="0.25">
      <c r="A739" t="s">
        <v>391</v>
      </c>
      <c r="B739">
        <v>148</v>
      </c>
      <c r="C739">
        <v>54</v>
      </c>
      <c r="D739">
        <v>2</v>
      </c>
      <c r="E739" t="s">
        <v>12</v>
      </c>
      <c r="F739" t="s">
        <v>13</v>
      </c>
      <c r="G739" t="s">
        <v>28</v>
      </c>
    </row>
    <row r="740" spans="1:7" x14ac:dyDescent="0.25">
      <c r="A740" t="s">
        <v>190</v>
      </c>
      <c r="B740">
        <v>249</v>
      </c>
      <c r="C740">
        <v>-5</v>
      </c>
      <c r="D740">
        <v>4</v>
      </c>
      <c r="E740" t="s">
        <v>23</v>
      </c>
      <c r="F740" t="s">
        <v>26</v>
      </c>
      <c r="G740" t="s">
        <v>10</v>
      </c>
    </row>
    <row r="741" spans="1:7" x14ac:dyDescent="0.25">
      <c r="A741" t="s">
        <v>115</v>
      </c>
      <c r="B741">
        <v>147</v>
      </c>
      <c r="C741">
        <v>73</v>
      </c>
      <c r="D741">
        <v>3</v>
      </c>
      <c r="E741" t="s">
        <v>23</v>
      </c>
      <c r="F741" t="s">
        <v>57</v>
      </c>
      <c r="G741" t="s">
        <v>28</v>
      </c>
    </row>
    <row r="742" spans="1:7" x14ac:dyDescent="0.25">
      <c r="A742" t="s">
        <v>392</v>
      </c>
      <c r="B742">
        <v>118</v>
      </c>
      <c r="C742">
        <v>35</v>
      </c>
      <c r="D742">
        <v>7</v>
      </c>
      <c r="E742" t="s">
        <v>23</v>
      </c>
      <c r="F742" t="s">
        <v>81</v>
      </c>
      <c r="G742" t="s">
        <v>14</v>
      </c>
    </row>
    <row r="743" spans="1:7" x14ac:dyDescent="0.25">
      <c r="A743" t="s">
        <v>194</v>
      </c>
      <c r="B743">
        <v>119</v>
      </c>
      <c r="C743">
        <v>56</v>
      </c>
      <c r="D743">
        <v>7</v>
      </c>
      <c r="E743" t="s">
        <v>23</v>
      </c>
      <c r="F743" t="s">
        <v>26</v>
      </c>
      <c r="G743" t="s">
        <v>14</v>
      </c>
    </row>
    <row r="744" spans="1:7" x14ac:dyDescent="0.25">
      <c r="A744" t="s">
        <v>378</v>
      </c>
      <c r="B744">
        <v>90</v>
      </c>
      <c r="C744">
        <v>27</v>
      </c>
      <c r="D744">
        <v>2</v>
      </c>
      <c r="E744" t="s">
        <v>23</v>
      </c>
      <c r="F744" t="s">
        <v>81</v>
      </c>
      <c r="G744" t="s">
        <v>10</v>
      </c>
    </row>
    <row r="745" spans="1:7" x14ac:dyDescent="0.25">
      <c r="A745" t="s">
        <v>263</v>
      </c>
      <c r="B745">
        <v>32</v>
      </c>
      <c r="C745">
        <v>1</v>
      </c>
      <c r="D745">
        <v>2</v>
      </c>
      <c r="E745" t="s">
        <v>23</v>
      </c>
      <c r="F745" t="s">
        <v>57</v>
      </c>
      <c r="G745" t="s">
        <v>10</v>
      </c>
    </row>
    <row r="746" spans="1:7" x14ac:dyDescent="0.25">
      <c r="A746" t="s">
        <v>393</v>
      </c>
      <c r="B746">
        <v>89</v>
      </c>
      <c r="C746">
        <v>-89</v>
      </c>
      <c r="D746">
        <v>2</v>
      </c>
      <c r="E746" t="s">
        <v>12</v>
      </c>
      <c r="F746" t="s">
        <v>131</v>
      </c>
      <c r="G746" t="s">
        <v>10</v>
      </c>
    </row>
    <row r="747" spans="1:7" x14ac:dyDescent="0.25">
      <c r="A747" t="s">
        <v>328</v>
      </c>
      <c r="B747">
        <v>146</v>
      </c>
      <c r="C747">
        <v>66</v>
      </c>
      <c r="D747">
        <v>1</v>
      </c>
      <c r="E747" t="s">
        <v>8</v>
      </c>
      <c r="F747" t="s">
        <v>21</v>
      </c>
      <c r="G747" t="s">
        <v>28</v>
      </c>
    </row>
    <row r="748" spans="1:7" x14ac:dyDescent="0.25">
      <c r="A748" t="s">
        <v>394</v>
      </c>
      <c r="B748">
        <v>89</v>
      </c>
      <c r="C748">
        <v>-37</v>
      </c>
      <c r="D748">
        <v>4</v>
      </c>
      <c r="E748" t="s">
        <v>23</v>
      </c>
      <c r="F748" t="s">
        <v>142</v>
      </c>
      <c r="G748" t="s">
        <v>10</v>
      </c>
    </row>
    <row r="749" spans="1:7" x14ac:dyDescent="0.25">
      <c r="A749" t="s">
        <v>243</v>
      </c>
      <c r="B749">
        <v>88</v>
      </c>
      <c r="C749">
        <v>11</v>
      </c>
      <c r="D749">
        <v>3</v>
      </c>
      <c r="E749" t="s">
        <v>8</v>
      </c>
      <c r="F749" t="s">
        <v>73</v>
      </c>
      <c r="G749" t="s">
        <v>10</v>
      </c>
    </row>
    <row r="750" spans="1:7" x14ac:dyDescent="0.25">
      <c r="A750" t="s">
        <v>395</v>
      </c>
      <c r="B750">
        <v>121</v>
      </c>
      <c r="C750">
        <v>41</v>
      </c>
      <c r="D750">
        <v>4</v>
      </c>
      <c r="E750" t="s">
        <v>23</v>
      </c>
      <c r="F750" t="s">
        <v>57</v>
      </c>
      <c r="G750" t="s">
        <v>14</v>
      </c>
    </row>
    <row r="751" spans="1:7" x14ac:dyDescent="0.25">
      <c r="A751" t="s">
        <v>273</v>
      </c>
      <c r="B751">
        <v>88</v>
      </c>
      <c r="C751">
        <v>20</v>
      </c>
      <c r="D751">
        <v>2</v>
      </c>
      <c r="E751" t="s">
        <v>23</v>
      </c>
      <c r="F751" t="s">
        <v>26</v>
      </c>
      <c r="G751" t="s">
        <v>10</v>
      </c>
    </row>
    <row r="752" spans="1:7" x14ac:dyDescent="0.25">
      <c r="A752" t="s">
        <v>182</v>
      </c>
      <c r="B752">
        <v>87</v>
      </c>
      <c r="C752">
        <v>-83</v>
      </c>
      <c r="D752">
        <v>5</v>
      </c>
      <c r="E752" t="s">
        <v>23</v>
      </c>
      <c r="F752" t="s">
        <v>32</v>
      </c>
      <c r="G752" t="s">
        <v>10</v>
      </c>
    </row>
    <row r="753" spans="1:7" x14ac:dyDescent="0.25">
      <c r="A753" t="s">
        <v>396</v>
      </c>
      <c r="B753">
        <v>87</v>
      </c>
      <c r="C753">
        <v>4</v>
      </c>
      <c r="D753">
        <v>2</v>
      </c>
      <c r="E753" t="s">
        <v>23</v>
      </c>
      <c r="F753" t="s">
        <v>142</v>
      </c>
      <c r="G753" t="s">
        <v>10</v>
      </c>
    </row>
    <row r="754" spans="1:7" x14ac:dyDescent="0.25">
      <c r="A754" t="s">
        <v>397</v>
      </c>
      <c r="B754">
        <v>122</v>
      </c>
      <c r="C754">
        <v>15</v>
      </c>
      <c r="D754">
        <v>3</v>
      </c>
      <c r="E754" t="s">
        <v>8</v>
      </c>
      <c r="F754" t="s">
        <v>73</v>
      </c>
      <c r="G754" t="s">
        <v>14</v>
      </c>
    </row>
    <row r="755" spans="1:7" x14ac:dyDescent="0.25">
      <c r="A755" t="s">
        <v>398</v>
      </c>
      <c r="B755">
        <v>87</v>
      </c>
      <c r="C755">
        <v>10</v>
      </c>
      <c r="D755">
        <v>3</v>
      </c>
      <c r="E755" t="s">
        <v>23</v>
      </c>
      <c r="F755" t="s">
        <v>57</v>
      </c>
      <c r="G755" t="s">
        <v>10</v>
      </c>
    </row>
    <row r="756" spans="1:7" x14ac:dyDescent="0.25">
      <c r="A756" t="s">
        <v>399</v>
      </c>
      <c r="B756">
        <v>53</v>
      </c>
      <c r="C756">
        <v>8</v>
      </c>
      <c r="D756">
        <v>3</v>
      </c>
      <c r="E756" t="s">
        <v>12</v>
      </c>
      <c r="F756" t="s">
        <v>131</v>
      </c>
      <c r="G756" t="s">
        <v>28</v>
      </c>
    </row>
    <row r="757" spans="1:7" x14ac:dyDescent="0.25">
      <c r="A757" t="s">
        <v>133</v>
      </c>
      <c r="B757">
        <v>87</v>
      </c>
      <c r="C757">
        <v>-32</v>
      </c>
      <c r="D757">
        <v>9</v>
      </c>
      <c r="E757" t="s">
        <v>23</v>
      </c>
      <c r="F757" t="s">
        <v>43</v>
      </c>
      <c r="G757" t="s">
        <v>10</v>
      </c>
    </row>
    <row r="758" spans="1:7" x14ac:dyDescent="0.25">
      <c r="A758" t="s">
        <v>400</v>
      </c>
      <c r="B758">
        <v>86</v>
      </c>
      <c r="C758">
        <v>-55</v>
      </c>
      <c r="D758">
        <v>6</v>
      </c>
      <c r="E758" t="s">
        <v>23</v>
      </c>
      <c r="F758" t="s">
        <v>26</v>
      </c>
      <c r="G758" t="s">
        <v>10</v>
      </c>
    </row>
    <row r="759" spans="1:7" x14ac:dyDescent="0.25">
      <c r="A759" t="s">
        <v>401</v>
      </c>
      <c r="B759">
        <v>125</v>
      </c>
      <c r="C759">
        <v>22</v>
      </c>
      <c r="D759">
        <v>3</v>
      </c>
      <c r="E759" t="s">
        <v>23</v>
      </c>
      <c r="F759" t="s">
        <v>57</v>
      </c>
      <c r="G759" t="s">
        <v>14</v>
      </c>
    </row>
    <row r="760" spans="1:7" x14ac:dyDescent="0.25">
      <c r="A760" t="s">
        <v>180</v>
      </c>
      <c r="B760">
        <v>128</v>
      </c>
      <c r="C760">
        <v>-3</v>
      </c>
      <c r="D760">
        <v>3</v>
      </c>
      <c r="E760" t="s">
        <v>23</v>
      </c>
      <c r="F760" t="s">
        <v>26</v>
      </c>
      <c r="G760" t="s">
        <v>82</v>
      </c>
    </row>
    <row r="761" spans="1:7" x14ac:dyDescent="0.25">
      <c r="A761" t="s">
        <v>224</v>
      </c>
      <c r="B761">
        <v>143</v>
      </c>
      <c r="C761">
        <v>-124</v>
      </c>
      <c r="D761">
        <v>5</v>
      </c>
      <c r="E761" t="s">
        <v>23</v>
      </c>
      <c r="F761" t="s">
        <v>26</v>
      </c>
      <c r="G761" t="s">
        <v>28</v>
      </c>
    </row>
    <row r="762" spans="1:7" x14ac:dyDescent="0.25">
      <c r="A762" t="s">
        <v>83</v>
      </c>
      <c r="B762">
        <v>86</v>
      </c>
      <c r="C762">
        <v>22</v>
      </c>
      <c r="D762">
        <v>2</v>
      </c>
      <c r="E762" t="s">
        <v>23</v>
      </c>
      <c r="F762" t="s">
        <v>26</v>
      </c>
      <c r="G762" t="s">
        <v>10</v>
      </c>
    </row>
    <row r="763" spans="1:7" x14ac:dyDescent="0.25">
      <c r="A763" t="s">
        <v>402</v>
      </c>
      <c r="B763">
        <v>86</v>
      </c>
      <c r="C763">
        <v>9</v>
      </c>
      <c r="D763">
        <v>3</v>
      </c>
      <c r="E763" t="s">
        <v>23</v>
      </c>
      <c r="F763" t="s">
        <v>26</v>
      </c>
      <c r="G763" t="s">
        <v>10</v>
      </c>
    </row>
    <row r="764" spans="1:7" x14ac:dyDescent="0.25">
      <c r="A764" t="s">
        <v>289</v>
      </c>
      <c r="B764">
        <v>85</v>
      </c>
      <c r="C764">
        <v>-9</v>
      </c>
      <c r="D764">
        <v>4</v>
      </c>
      <c r="E764" t="s">
        <v>23</v>
      </c>
      <c r="F764" t="s">
        <v>26</v>
      </c>
      <c r="G764" t="s">
        <v>10</v>
      </c>
    </row>
    <row r="765" spans="1:7" x14ac:dyDescent="0.25">
      <c r="A765" t="s">
        <v>268</v>
      </c>
      <c r="B765">
        <v>129</v>
      </c>
      <c r="C765">
        <v>-75</v>
      </c>
      <c r="D765">
        <v>5</v>
      </c>
      <c r="E765" t="s">
        <v>23</v>
      </c>
      <c r="F765" t="s">
        <v>142</v>
      </c>
      <c r="G765" t="s">
        <v>82</v>
      </c>
    </row>
    <row r="766" spans="1:7" x14ac:dyDescent="0.25">
      <c r="A766" t="s">
        <v>403</v>
      </c>
      <c r="B766">
        <v>84</v>
      </c>
      <c r="C766">
        <v>-42</v>
      </c>
      <c r="D766">
        <v>2</v>
      </c>
      <c r="E766" t="s">
        <v>8</v>
      </c>
      <c r="F766" t="s">
        <v>73</v>
      </c>
      <c r="G766" t="s">
        <v>10</v>
      </c>
    </row>
    <row r="767" spans="1:7" x14ac:dyDescent="0.25">
      <c r="A767" t="s">
        <v>121</v>
      </c>
      <c r="B767">
        <v>83</v>
      </c>
      <c r="C767">
        <v>-81</v>
      </c>
      <c r="D767">
        <v>3</v>
      </c>
      <c r="E767" t="s">
        <v>12</v>
      </c>
      <c r="F767" t="s">
        <v>13</v>
      </c>
      <c r="G767" t="s">
        <v>10</v>
      </c>
    </row>
    <row r="768" spans="1:7" x14ac:dyDescent="0.25">
      <c r="A768" t="s">
        <v>297</v>
      </c>
      <c r="B768">
        <v>143</v>
      </c>
      <c r="C768">
        <v>6</v>
      </c>
      <c r="D768">
        <v>2</v>
      </c>
      <c r="E768" t="s">
        <v>8</v>
      </c>
      <c r="F768" t="s">
        <v>73</v>
      </c>
      <c r="G768" t="s">
        <v>28</v>
      </c>
    </row>
    <row r="769" spans="1:7" x14ac:dyDescent="0.25">
      <c r="A769" t="s">
        <v>404</v>
      </c>
      <c r="B769">
        <v>336</v>
      </c>
      <c r="C769">
        <v>123</v>
      </c>
      <c r="D769">
        <v>3</v>
      </c>
      <c r="E769" t="s">
        <v>8</v>
      </c>
      <c r="F769" t="s">
        <v>21</v>
      </c>
      <c r="G769" t="s">
        <v>28</v>
      </c>
    </row>
    <row r="770" spans="1:7" x14ac:dyDescent="0.25">
      <c r="A770" t="s">
        <v>71</v>
      </c>
      <c r="B770">
        <v>323</v>
      </c>
      <c r="C770">
        <v>122</v>
      </c>
      <c r="D770">
        <v>5</v>
      </c>
      <c r="E770" t="s">
        <v>8</v>
      </c>
      <c r="F770" t="s">
        <v>21</v>
      </c>
      <c r="G770" t="s">
        <v>28</v>
      </c>
    </row>
    <row r="771" spans="1:7" x14ac:dyDescent="0.25">
      <c r="A771" t="s">
        <v>260</v>
      </c>
      <c r="B771">
        <v>130</v>
      </c>
      <c r="C771">
        <v>61</v>
      </c>
      <c r="D771">
        <v>3</v>
      </c>
      <c r="E771" t="s">
        <v>23</v>
      </c>
      <c r="F771" t="s">
        <v>142</v>
      </c>
      <c r="G771" t="s">
        <v>82</v>
      </c>
    </row>
    <row r="772" spans="1:7" x14ac:dyDescent="0.25">
      <c r="A772" t="s">
        <v>292</v>
      </c>
      <c r="B772">
        <v>152</v>
      </c>
      <c r="C772">
        <v>-3</v>
      </c>
      <c r="D772">
        <v>5</v>
      </c>
      <c r="E772" t="s">
        <v>23</v>
      </c>
      <c r="F772" t="s">
        <v>26</v>
      </c>
      <c r="G772" t="s">
        <v>10</v>
      </c>
    </row>
    <row r="773" spans="1:7" x14ac:dyDescent="0.25">
      <c r="A773" t="s">
        <v>397</v>
      </c>
      <c r="B773">
        <v>25</v>
      </c>
      <c r="C773">
        <v>10</v>
      </c>
      <c r="D773">
        <v>1</v>
      </c>
      <c r="E773" t="s">
        <v>12</v>
      </c>
      <c r="F773" t="s">
        <v>131</v>
      </c>
      <c r="G773" t="s">
        <v>28</v>
      </c>
    </row>
    <row r="774" spans="1:7" x14ac:dyDescent="0.25">
      <c r="A774" t="s">
        <v>140</v>
      </c>
      <c r="B774">
        <v>140</v>
      </c>
      <c r="C774">
        <v>15</v>
      </c>
      <c r="D774">
        <v>5</v>
      </c>
      <c r="E774" t="s">
        <v>23</v>
      </c>
      <c r="F774" t="s">
        <v>57</v>
      </c>
      <c r="G774" t="s">
        <v>28</v>
      </c>
    </row>
    <row r="775" spans="1:7" x14ac:dyDescent="0.25">
      <c r="A775" t="s">
        <v>241</v>
      </c>
      <c r="B775">
        <v>45</v>
      </c>
      <c r="C775">
        <v>0</v>
      </c>
      <c r="D775">
        <v>2</v>
      </c>
      <c r="E775" t="s">
        <v>23</v>
      </c>
      <c r="F775" t="s">
        <v>57</v>
      </c>
      <c r="G775" t="s">
        <v>28</v>
      </c>
    </row>
    <row r="776" spans="1:7" x14ac:dyDescent="0.25">
      <c r="A776" t="s">
        <v>157</v>
      </c>
      <c r="B776">
        <v>132</v>
      </c>
      <c r="C776">
        <v>49</v>
      </c>
      <c r="D776">
        <v>3</v>
      </c>
      <c r="E776" t="s">
        <v>23</v>
      </c>
      <c r="F776" t="s">
        <v>142</v>
      </c>
      <c r="G776" t="s">
        <v>10</v>
      </c>
    </row>
    <row r="777" spans="1:7" x14ac:dyDescent="0.25">
      <c r="A777" t="s">
        <v>229</v>
      </c>
      <c r="B777">
        <v>133</v>
      </c>
      <c r="C777">
        <v>12</v>
      </c>
      <c r="D777">
        <v>5</v>
      </c>
      <c r="E777" t="s">
        <v>23</v>
      </c>
      <c r="F777" t="s">
        <v>57</v>
      </c>
      <c r="G777" t="s">
        <v>82</v>
      </c>
    </row>
    <row r="778" spans="1:7" x14ac:dyDescent="0.25">
      <c r="A778" t="s">
        <v>187</v>
      </c>
      <c r="B778">
        <v>82</v>
      </c>
      <c r="C778">
        <v>13</v>
      </c>
      <c r="D778">
        <v>2</v>
      </c>
      <c r="E778" t="s">
        <v>23</v>
      </c>
      <c r="F778" t="s">
        <v>142</v>
      </c>
      <c r="G778" t="s">
        <v>10</v>
      </c>
    </row>
    <row r="779" spans="1:7" x14ac:dyDescent="0.25">
      <c r="A779" t="s">
        <v>243</v>
      </c>
      <c r="B779">
        <v>140</v>
      </c>
      <c r="C779">
        <v>56</v>
      </c>
      <c r="D779">
        <v>4</v>
      </c>
      <c r="E779" t="s">
        <v>23</v>
      </c>
      <c r="F779" t="s">
        <v>142</v>
      </c>
      <c r="G779" t="s">
        <v>28</v>
      </c>
    </row>
    <row r="780" spans="1:7" x14ac:dyDescent="0.25">
      <c r="A780" t="s">
        <v>330</v>
      </c>
      <c r="B780">
        <v>81</v>
      </c>
      <c r="C780">
        <v>19</v>
      </c>
      <c r="D780">
        <v>7</v>
      </c>
      <c r="E780" t="s">
        <v>23</v>
      </c>
      <c r="F780" t="s">
        <v>30</v>
      </c>
      <c r="G780" t="s">
        <v>10</v>
      </c>
    </row>
    <row r="781" spans="1:7" x14ac:dyDescent="0.25">
      <c r="A781" t="s">
        <v>72</v>
      </c>
      <c r="B781">
        <v>137</v>
      </c>
      <c r="C781">
        <v>38</v>
      </c>
      <c r="D781">
        <v>5</v>
      </c>
      <c r="E781" t="s">
        <v>23</v>
      </c>
      <c r="F781" t="s">
        <v>30</v>
      </c>
      <c r="G781" t="s">
        <v>82</v>
      </c>
    </row>
    <row r="782" spans="1:7" x14ac:dyDescent="0.25">
      <c r="A782" t="s">
        <v>405</v>
      </c>
      <c r="B782">
        <v>137</v>
      </c>
      <c r="C782">
        <v>-41</v>
      </c>
      <c r="D782">
        <v>3</v>
      </c>
      <c r="E782" t="s">
        <v>8</v>
      </c>
      <c r="F782" t="s">
        <v>21</v>
      </c>
      <c r="G782" t="s">
        <v>82</v>
      </c>
    </row>
    <row r="783" spans="1:7" x14ac:dyDescent="0.25">
      <c r="A783" t="s">
        <v>383</v>
      </c>
      <c r="B783">
        <v>140</v>
      </c>
      <c r="C783">
        <v>57</v>
      </c>
      <c r="D783">
        <v>2</v>
      </c>
      <c r="E783" t="s">
        <v>23</v>
      </c>
      <c r="F783" t="s">
        <v>24</v>
      </c>
      <c r="G783" t="s">
        <v>82</v>
      </c>
    </row>
    <row r="784" spans="1:7" x14ac:dyDescent="0.25">
      <c r="A784" t="s">
        <v>406</v>
      </c>
      <c r="B784">
        <v>139</v>
      </c>
      <c r="C784">
        <v>30</v>
      </c>
      <c r="D784">
        <v>3</v>
      </c>
      <c r="E784" t="s">
        <v>23</v>
      </c>
      <c r="F784" t="s">
        <v>142</v>
      </c>
      <c r="G784" t="s">
        <v>28</v>
      </c>
    </row>
    <row r="785" spans="1:7" x14ac:dyDescent="0.25">
      <c r="A785" t="s">
        <v>273</v>
      </c>
      <c r="B785">
        <v>138</v>
      </c>
      <c r="C785">
        <v>11</v>
      </c>
      <c r="D785">
        <v>5</v>
      </c>
      <c r="E785" t="s">
        <v>23</v>
      </c>
      <c r="F785" t="s">
        <v>57</v>
      </c>
      <c r="G785" t="s">
        <v>28</v>
      </c>
    </row>
    <row r="786" spans="1:7" x14ac:dyDescent="0.25">
      <c r="A786" t="s">
        <v>407</v>
      </c>
      <c r="B786">
        <v>79</v>
      </c>
      <c r="C786">
        <v>-124</v>
      </c>
      <c r="D786">
        <v>9</v>
      </c>
      <c r="E786" t="s">
        <v>23</v>
      </c>
      <c r="F786" t="s">
        <v>43</v>
      </c>
      <c r="G786" t="s">
        <v>10</v>
      </c>
    </row>
    <row r="787" spans="1:7" x14ac:dyDescent="0.25">
      <c r="A787" t="s">
        <v>408</v>
      </c>
      <c r="B787">
        <v>136</v>
      </c>
      <c r="C787">
        <v>41</v>
      </c>
      <c r="D787">
        <v>3</v>
      </c>
      <c r="E787" t="s">
        <v>8</v>
      </c>
      <c r="F787" t="s">
        <v>73</v>
      </c>
      <c r="G787" t="s">
        <v>28</v>
      </c>
    </row>
    <row r="788" spans="1:7" x14ac:dyDescent="0.25">
      <c r="A788" t="s">
        <v>297</v>
      </c>
      <c r="B788">
        <v>145</v>
      </c>
      <c r="C788">
        <v>16</v>
      </c>
      <c r="D788">
        <v>3</v>
      </c>
      <c r="E788" t="s">
        <v>23</v>
      </c>
      <c r="F788" t="s">
        <v>81</v>
      </c>
      <c r="G788" t="s">
        <v>82</v>
      </c>
    </row>
    <row r="789" spans="1:7" x14ac:dyDescent="0.25">
      <c r="A789" t="s">
        <v>174</v>
      </c>
      <c r="B789">
        <v>44</v>
      </c>
      <c r="C789">
        <v>20</v>
      </c>
      <c r="D789">
        <v>2</v>
      </c>
      <c r="E789" t="s">
        <v>23</v>
      </c>
      <c r="F789" t="s">
        <v>81</v>
      </c>
      <c r="G789" t="s">
        <v>28</v>
      </c>
    </row>
    <row r="790" spans="1:7" x14ac:dyDescent="0.25">
      <c r="A790" t="s">
        <v>306</v>
      </c>
      <c r="B790">
        <v>79</v>
      </c>
      <c r="C790">
        <v>6</v>
      </c>
      <c r="D790">
        <v>7</v>
      </c>
      <c r="E790" t="s">
        <v>23</v>
      </c>
      <c r="F790" t="s">
        <v>26</v>
      </c>
      <c r="G790" t="s">
        <v>10</v>
      </c>
    </row>
    <row r="791" spans="1:7" x14ac:dyDescent="0.25">
      <c r="A791" t="s">
        <v>158</v>
      </c>
      <c r="B791">
        <v>79</v>
      </c>
      <c r="C791">
        <v>36</v>
      </c>
      <c r="D791">
        <v>4</v>
      </c>
      <c r="E791" t="s">
        <v>23</v>
      </c>
      <c r="F791" t="s">
        <v>142</v>
      </c>
      <c r="G791" t="s">
        <v>10</v>
      </c>
    </row>
    <row r="792" spans="1:7" x14ac:dyDescent="0.25">
      <c r="A792" t="s">
        <v>212</v>
      </c>
      <c r="B792">
        <v>134</v>
      </c>
      <c r="C792">
        <v>-13</v>
      </c>
      <c r="D792">
        <v>3</v>
      </c>
      <c r="E792" t="s">
        <v>8</v>
      </c>
      <c r="F792" t="s">
        <v>9</v>
      </c>
      <c r="G792" t="s">
        <v>28</v>
      </c>
    </row>
    <row r="793" spans="1:7" x14ac:dyDescent="0.25">
      <c r="A793" t="s">
        <v>46</v>
      </c>
      <c r="B793">
        <v>133</v>
      </c>
      <c r="C793">
        <v>5</v>
      </c>
      <c r="D793">
        <v>5</v>
      </c>
      <c r="E793" t="s">
        <v>23</v>
      </c>
      <c r="F793" t="s">
        <v>57</v>
      </c>
      <c r="G793" t="s">
        <v>28</v>
      </c>
    </row>
    <row r="794" spans="1:7" x14ac:dyDescent="0.25">
      <c r="A794" t="s">
        <v>211</v>
      </c>
      <c r="B794">
        <v>47</v>
      </c>
      <c r="C794">
        <v>20</v>
      </c>
      <c r="D794">
        <v>7</v>
      </c>
      <c r="E794" t="s">
        <v>23</v>
      </c>
      <c r="F794" t="s">
        <v>30</v>
      </c>
      <c r="G794" t="s">
        <v>28</v>
      </c>
    </row>
    <row r="795" spans="1:7" x14ac:dyDescent="0.25">
      <c r="A795" t="s">
        <v>258</v>
      </c>
      <c r="B795">
        <v>133</v>
      </c>
      <c r="C795">
        <v>-42</v>
      </c>
      <c r="D795">
        <v>1</v>
      </c>
      <c r="E795" t="s">
        <v>8</v>
      </c>
      <c r="F795" t="s">
        <v>18</v>
      </c>
      <c r="G795" t="s">
        <v>28</v>
      </c>
    </row>
    <row r="796" spans="1:7" x14ac:dyDescent="0.25">
      <c r="A796" t="s">
        <v>409</v>
      </c>
      <c r="B796">
        <v>78</v>
      </c>
      <c r="C796">
        <v>27</v>
      </c>
      <c r="D796">
        <v>3</v>
      </c>
      <c r="E796" t="s">
        <v>23</v>
      </c>
      <c r="F796" t="s">
        <v>57</v>
      </c>
      <c r="G796" t="s">
        <v>10</v>
      </c>
    </row>
    <row r="797" spans="1:7" x14ac:dyDescent="0.25">
      <c r="A797" t="s">
        <v>410</v>
      </c>
      <c r="B797">
        <v>78</v>
      </c>
      <c r="C797">
        <v>7</v>
      </c>
      <c r="D797">
        <v>1</v>
      </c>
      <c r="E797" t="s">
        <v>12</v>
      </c>
      <c r="F797" t="s">
        <v>13</v>
      </c>
      <c r="G797" t="s">
        <v>10</v>
      </c>
    </row>
    <row r="798" spans="1:7" x14ac:dyDescent="0.25">
      <c r="A798" t="s">
        <v>411</v>
      </c>
      <c r="B798">
        <v>76</v>
      </c>
      <c r="C798">
        <v>-92</v>
      </c>
      <c r="D798">
        <v>8</v>
      </c>
      <c r="E798" t="s">
        <v>12</v>
      </c>
      <c r="F798" t="s">
        <v>131</v>
      </c>
      <c r="G798" t="s">
        <v>10</v>
      </c>
    </row>
    <row r="799" spans="1:7" x14ac:dyDescent="0.25">
      <c r="A799" t="s">
        <v>412</v>
      </c>
      <c r="B799">
        <v>76</v>
      </c>
      <c r="C799">
        <v>-50</v>
      </c>
      <c r="D799">
        <v>1</v>
      </c>
      <c r="E799" t="s">
        <v>23</v>
      </c>
      <c r="F799" t="s">
        <v>26</v>
      </c>
      <c r="G799" t="s">
        <v>10</v>
      </c>
    </row>
    <row r="800" spans="1:7" x14ac:dyDescent="0.25">
      <c r="A800" t="s">
        <v>234</v>
      </c>
      <c r="B800">
        <v>76</v>
      </c>
      <c r="C800">
        <v>19</v>
      </c>
      <c r="D800">
        <v>3</v>
      </c>
      <c r="E800" t="s">
        <v>23</v>
      </c>
      <c r="F800" t="s">
        <v>30</v>
      </c>
      <c r="G800" t="s">
        <v>10</v>
      </c>
    </row>
    <row r="801" spans="1:7" x14ac:dyDescent="0.25">
      <c r="A801" t="s">
        <v>155</v>
      </c>
      <c r="B801">
        <v>74</v>
      </c>
      <c r="C801">
        <v>29</v>
      </c>
      <c r="D801">
        <v>3</v>
      </c>
      <c r="E801" t="s">
        <v>23</v>
      </c>
      <c r="F801" t="s">
        <v>57</v>
      </c>
      <c r="G801" t="s">
        <v>10</v>
      </c>
    </row>
    <row r="802" spans="1:7" x14ac:dyDescent="0.25">
      <c r="A802" t="s">
        <v>413</v>
      </c>
      <c r="B802">
        <v>74</v>
      </c>
      <c r="C802">
        <v>-25</v>
      </c>
      <c r="D802">
        <v>3</v>
      </c>
      <c r="E802" t="s">
        <v>23</v>
      </c>
      <c r="F802" t="s">
        <v>57</v>
      </c>
      <c r="G802" t="s">
        <v>10</v>
      </c>
    </row>
    <row r="803" spans="1:7" x14ac:dyDescent="0.25">
      <c r="A803" t="s">
        <v>145</v>
      </c>
      <c r="B803">
        <v>146</v>
      </c>
      <c r="C803">
        <v>-63</v>
      </c>
      <c r="D803">
        <v>3</v>
      </c>
      <c r="E803" t="s">
        <v>8</v>
      </c>
      <c r="F803" t="s">
        <v>9</v>
      </c>
      <c r="G803" t="s">
        <v>82</v>
      </c>
    </row>
    <row r="804" spans="1:7" x14ac:dyDescent="0.25">
      <c r="A804" t="s">
        <v>141</v>
      </c>
      <c r="B804">
        <v>73</v>
      </c>
      <c r="C804">
        <v>-31</v>
      </c>
      <c r="D804">
        <v>1</v>
      </c>
      <c r="E804" t="s">
        <v>12</v>
      </c>
      <c r="F804" t="s">
        <v>16</v>
      </c>
      <c r="G804" t="s">
        <v>10</v>
      </c>
    </row>
    <row r="805" spans="1:7" x14ac:dyDescent="0.25">
      <c r="A805" t="s">
        <v>88</v>
      </c>
      <c r="B805">
        <v>80</v>
      </c>
      <c r="C805">
        <v>22</v>
      </c>
      <c r="D805">
        <v>3</v>
      </c>
      <c r="E805" t="s">
        <v>23</v>
      </c>
      <c r="F805" t="s">
        <v>57</v>
      </c>
      <c r="G805" t="s">
        <v>28</v>
      </c>
    </row>
    <row r="806" spans="1:7" x14ac:dyDescent="0.25">
      <c r="A806" t="s">
        <v>294</v>
      </c>
      <c r="B806">
        <v>133</v>
      </c>
      <c r="C806">
        <v>46</v>
      </c>
      <c r="D806">
        <v>5</v>
      </c>
      <c r="E806" t="s">
        <v>23</v>
      </c>
      <c r="F806" t="s">
        <v>142</v>
      </c>
      <c r="G806" t="s">
        <v>14</v>
      </c>
    </row>
    <row r="807" spans="1:7" x14ac:dyDescent="0.25">
      <c r="A807" t="s">
        <v>414</v>
      </c>
      <c r="B807">
        <v>146</v>
      </c>
      <c r="C807">
        <v>7</v>
      </c>
      <c r="D807">
        <v>2</v>
      </c>
      <c r="E807" t="s">
        <v>8</v>
      </c>
      <c r="F807" t="s">
        <v>21</v>
      </c>
      <c r="G807" t="s">
        <v>82</v>
      </c>
    </row>
    <row r="808" spans="1:7" x14ac:dyDescent="0.25">
      <c r="A808" t="s">
        <v>218</v>
      </c>
      <c r="B808">
        <v>130</v>
      </c>
      <c r="C808">
        <v>-41</v>
      </c>
      <c r="D808">
        <v>4</v>
      </c>
      <c r="E808" t="s">
        <v>23</v>
      </c>
      <c r="F808" t="s">
        <v>26</v>
      </c>
      <c r="G808" t="s">
        <v>14</v>
      </c>
    </row>
    <row r="809" spans="1:7" x14ac:dyDescent="0.25">
      <c r="A809" t="s">
        <v>415</v>
      </c>
      <c r="B809">
        <v>141</v>
      </c>
      <c r="C809">
        <v>41</v>
      </c>
      <c r="D809">
        <v>3</v>
      </c>
      <c r="E809" t="s">
        <v>23</v>
      </c>
      <c r="F809" t="s">
        <v>142</v>
      </c>
      <c r="G809" t="s">
        <v>28</v>
      </c>
    </row>
    <row r="810" spans="1:7" x14ac:dyDescent="0.25">
      <c r="A810" t="s">
        <v>214</v>
      </c>
      <c r="B810">
        <v>147</v>
      </c>
      <c r="C810">
        <v>21</v>
      </c>
      <c r="D810">
        <v>3</v>
      </c>
      <c r="E810" t="s">
        <v>12</v>
      </c>
      <c r="F810" t="s">
        <v>131</v>
      </c>
      <c r="G810" t="s">
        <v>82</v>
      </c>
    </row>
    <row r="811" spans="1:7" x14ac:dyDescent="0.25">
      <c r="A811" t="s">
        <v>99</v>
      </c>
      <c r="B811">
        <v>73</v>
      </c>
      <c r="C811">
        <v>-7</v>
      </c>
      <c r="D811">
        <v>1</v>
      </c>
      <c r="E811" t="s">
        <v>8</v>
      </c>
      <c r="F811" t="s">
        <v>21</v>
      </c>
      <c r="G811" t="s">
        <v>10</v>
      </c>
    </row>
    <row r="812" spans="1:7" x14ac:dyDescent="0.25">
      <c r="A812" t="s">
        <v>416</v>
      </c>
      <c r="B812">
        <v>148</v>
      </c>
      <c r="C812">
        <v>72</v>
      </c>
      <c r="D812">
        <v>7</v>
      </c>
      <c r="E812" t="s">
        <v>23</v>
      </c>
      <c r="F812" t="s">
        <v>81</v>
      </c>
      <c r="G812" t="s">
        <v>82</v>
      </c>
    </row>
    <row r="813" spans="1:7" x14ac:dyDescent="0.25">
      <c r="A813" t="s">
        <v>417</v>
      </c>
      <c r="B813">
        <v>58</v>
      </c>
      <c r="C813">
        <v>0</v>
      </c>
      <c r="D813">
        <v>4</v>
      </c>
      <c r="E813" t="s">
        <v>23</v>
      </c>
      <c r="F813" t="s">
        <v>26</v>
      </c>
      <c r="G813" t="s">
        <v>28</v>
      </c>
    </row>
    <row r="814" spans="1:7" x14ac:dyDescent="0.25">
      <c r="A814" t="s">
        <v>308</v>
      </c>
      <c r="B814">
        <v>21</v>
      </c>
      <c r="C814">
        <v>-13</v>
      </c>
      <c r="D814">
        <v>3</v>
      </c>
      <c r="E814" t="s">
        <v>23</v>
      </c>
      <c r="F814" t="s">
        <v>63</v>
      </c>
      <c r="G814" t="s">
        <v>28</v>
      </c>
    </row>
    <row r="815" spans="1:7" x14ac:dyDescent="0.25">
      <c r="A815" t="s">
        <v>17</v>
      </c>
      <c r="B815">
        <v>148</v>
      </c>
      <c r="C815">
        <v>25</v>
      </c>
      <c r="D815">
        <v>3</v>
      </c>
      <c r="E815" t="s">
        <v>23</v>
      </c>
      <c r="F815" t="s">
        <v>26</v>
      </c>
      <c r="G815" t="s">
        <v>82</v>
      </c>
    </row>
    <row r="816" spans="1:7" x14ac:dyDescent="0.25">
      <c r="A816" t="s">
        <v>418</v>
      </c>
      <c r="B816">
        <v>144</v>
      </c>
      <c r="C816">
        <v>-7</v>
      </c>
      <c r="D816">
        <v>4</v>
      </c>
      <c r="E816" t="s">
        <v>8</v>
      </c>
      <c r="F816" t="s">
        <v>9</v>
      </c>
      <c r="G816" t="s">
        <v>10</v>
      </c>
    </row>
    <row r="817" spans="1:7" x14ac:dyDescent="0.25">
      <c r="A817" t="s">
        <v>290</v>
      </c>
      <c r="B817">
        <v>145</v>
      </c>
      <c r="C817">
        <v>-104</v>
      </c>
      <c r="D817">
        <v>5</v>
      </c>
      <c r="E817" t="s">
        <v>12</v>
      </c>
      <c r="F817" t="s">
        <v>13</v>
      </c>
      <c r="G817" t="s">
        <v>28</v>
      </c>
    </row>
    <row r="818" spans="1:7" x14ac:dyDescent="0.25">
      <c r="A818" t="s">
        <v>112</v>
      </c>
      <c r="B818">
        <v>72</v>
      </c>
      <c r="C818">
        <v>-49</v>
      </c>
      <c r="D818">
        <v>1</v>
      </c>
      <c r="E818" t="s">
        <v>8</v>
      </c>
      <c r="F818" t="s">
        <v>21</v>
      </c>
      <c r="G818" t="s">
        <v>10</v>
      </c>
    </row>
    <row r="819" spans="1:7" x14ac:dyDescent="0.25">
      <c r="A819" t="s">
        <v>44</v>
      </c>
      <c r="B819">
        <v>125</v>
      </c>
      <c r="C819">
        <v>15</v>
      </c>
      <c r="D819">
        <v>5</v>
      </c>
      <c r="E819" t="s">
        <v>23</v>
      </c>
      <c r="F819" t="s">
        <v>142</v>
      </c>
      <c r="G819" t="s">
        <v>14</v>
      </c>
    </row>
    <row r="820" spans="1:7" x14ac:dyDescent="0.25">
      <c r="A820" t="s">
        <v>72</v>
      </c>
      <c r="B820">
        <v>149</v>
      </c>
      <c r="C820">
        <v>15</v>
      </c>
      <c r="D820">
        <v>3</v>
      </c>
      <c r="E820" t="s">
        <v>23</v>
      </c>
      <c r="F820" t="s">
        <v>26</v>
      </c>
      <c r="G820" t="s">
        <v>82</v>
      </c>
    </row>
    <row r="821" spans="1:7" x14ac:dyDescent="0.25">
      <c r="A821" t="s">
        <v>116</v>
      </c>
      <c r="B821">
        <v>72</v>
      </c>
      <c r="C821">
        <v>16</v>
      </c>
      <c r="D821">
        <v>2</v>
      </c>
      <c r="E821" t="s">
        <v>23</v>
      </c>
      <c r="F821" t="s">
        <v>142</v>
      </c>
      <c r="G821" t="s">
        <v>10</v>
      </c>
    </row>
    <row r="822" spans="1:7" x14ac:dyDescent="0.25">
      <c r="A822" t="s">
        <v>50</v>
      </c>
      <c r="B822">
        <v>71</v>
      </c>
      <c r="C822">
        <v>0</v>
      </c>
      <c r="D822">
        <v>8</v>
      </c>
      <c r="E822" t="s">
        <v>23</v>
      </c>
      <c r="F822" t="s">
        <v>43</v>
      </c>
      <c r="G822" t="s">
        <v>10</v>
      </c>
    </row>
    <row r="823" spans="1:7" x14ac:dyDescent="0.25">
      <c r="A823" t="s">
        <v>419</v>
      </c>
      <c r="B823">
        <v>71</v>
      </c>
      <c r="C823">
        <v>-14</v>
      </c>
      <c r="D823">
        <v>4</v>
      </c>
      <c r="E823" t="s">
        <v>12</v>
      </c>
      <c r="F823" t="s">
        <v>131</v>
      </c>
      <c r="G823" t="s">
        <v>10</v>
      </c>
    </row>
    <row r="824" spans="1:7" x14ac:dyDescent="0.25">
      <c r="A824" t="s">
        <v>96</v>
      </c>
      <c r="B824">
        <v>154</v>
      </c>
      <c r="C824">
        <v>-85</v>
      </c>
      <c r="D824">
        <v>3</v>
      </c>
      <c r="E824" t="s">
        <v>12</v>
      </c>
      <c r="F824" t="s">
        <v>13</v>
      </c>
      <c r="G824" t="s">
        <v>14</v>
      </c>
    </row>
    <row r="825" spans="1:7" x14ac:dyDescent="0.25">
      <c r="A825" t="s">
        <v>152</v>
      </c>
      <c r="B825">
        <v>191</v>
      </c>
      <c r="C825">
        <v>13</v>
      </c>
      <c r="D825">
        <v>8</v>
      </c>
      <c r="E825" t="s">
        <v>12</v>
      </c>
      <c r="F825" t="s">
        <v>131</v>
      </c>
      <c r="G825" t="s">
        <v>10</v>
      </c>
    </row>
    <row r="826" spans="1:7" x14ac:dyDescent="0.25">
      <c r="A826" t="s">
        <v>403</v>
      </c>
      <c r="B826">
        <v>170</v>
      </c>
      <c r="C826">
        <v>19</v>
      </c>
      <c r="D826">
        <v>5</v>
      </c>
      <c r="E826" t="s">
        <v>23</v>
      </c>
      <c r="F826" t="s">
        <v>81</v>
      </c>
      <c r="G826" t="s">
        <v>28</v>
      </c>
    </row>
    <row r="827" spans="1:7" x14ac:dyDescent="0.25">
      <c r="A827" t="s">
        <v>67</v>
      </c>
      <c r="B827">
        <v>47</v>
      </c>
      <c r="C827">
        <v>-3</v>
      </c>
      <c r="D827">
        <v>2</v>
      </c>
      <c r="E827" t="s">
        <v>23</v>
      </c>
      <c r="F827" t="s">
        <v>57</v>
      </c>
      <c r="G827" t="s">
        <v>28</v>
      </c>
    </row>
    <row r="828" spans="1:7" x14ac:dyDescent="0.25">
      <c r="A828" t="s">
        <v>78</v>
      </c>
      <c r="B828">
        <v>122</v>
      </c>
      <c r="C828">
        <v>-47</v>
      </c>
      <c r="D828">
        <v>4</v>
      </c>
      <c r="E828" t="s">
        <v>23</v>
      </c>
      <c r="F828" t="s">
        <v>26</v>
      </c>
      <c r="G828" t="s">
        <v>14</v>
      </c>
    </row>
    <row r="829" spans="1:7" x14ac:dyDescent="0.25">
      <c r="A829" t="s">
        <v>330</v>
      </c>
      <c r="B829">
        <v>70</v>
      </c>
      <c r="C829">
        <v>26</v>
      </c>
      <c r="D829">
        <v>5</v>
      </c>
      <c r="E829" t="s">
        <v>23</v>
      </c>
      <c r="F829" t="s">
        <v>30</v>
      </c>
      <c r="G829" t="s">
        <v>10</v>
      </c>
    </row>
    <row r="830" spans="1:7" x14ac:dyDescent="0.25">
      <c r="A830" t="s">
        <v>263</v>
      </c>
      <c r="B830">
        <v>155</v>
      </c>
      <c r="C830">
        <v>5</v>
      </c>
      <c r="D830">
        <v>3</v>
      </c>
      <c r="E830" t="s">
        <v>23</v>
      </c>
      <c r="F830" t="s">
        <v>57</v>
      </c>
      <c r="G830" t="s">
        <v>14</v>
      </c>
    </row>
    <row r="831" spans="1:7" x14ac:dyDescent="0.25">
      <c r="A831" t="s">
        <v>420</v>
      </c>
      <c r="B831">
        <v>67</v>
      </c>
      <c r="C831">
        <v>-86</v>
      </c>
      <c r="D831">
        <v>9</v>
      </c>
      <c r="E831" t="s">
        <v>12</v>
      </c>
      <c r="F831" t="s">
        <v>131</v>
      </c>
      <c r="G831" t="s">
        <v>10</v>
      </c>
    </row>
    <row r="832" spans="1:7" x14ac:dyDescent="0.25">
      <c r="A832" t="s">
        <v>99</v>
      </c>
      <c r="B832">
        <v>67</v>
      </c>
      <c r="C832">
        <v>-42</v>
      </c>
      <c r="D832">
        <v>3</v>
      </c>
      <c r="E832" t="s">
        <v>23</v>
      </c>
      <c r="F832" t="s">
        <v>57</v>
      </c>
      <c r="G832" t="s">
        <v>10</v>
      </c>
    </row>
    <row r="833" spans="1:7" x14ac:dyDescent="0.25">
      <c r="A833" t="s">
        <v>64</v>
      </c>
      <c r="B833">
        <v>148</v>
      </c>
      <c r="C833">
        <v>-101</v>
      </c>
      <c r="D833">
        <v>2</v>
      </c>
      <c r="E833" t="s">
        <v>12</v>
      </c>
      <c r="F833" t="s">
        <v>16</v>
      </c>
      <c r="G833" t="s">
        <v>28</v>
      </c>
    </row>
    <row r="834" spans="1:7" x14ac:dyDescent="0.25">
      <c r="A834" t="s">
        <v>228</v>
      </c>
      <c r="B834">
        <v>122</v>
      </c>
      <c r="C834">
        <v>38</v>
      </c>
      <c r="D834">
        <v>6</v>
      </c>
      <c r="E834" t="s">
        <v>23</v>
      </c>
      <c r="F834" t="s">
        <v>81</v>
      </c>
      <c r="G834" t="s">
        <v>19</v>
      </c>
    </row>
    <row r="835" spans="1:7" x14ac:dyDescent="0.25">
      <c r="A835" t="s">
        <v>421</v>
      </c>
      <c r="B835">
        <v>16</v>
      </c>
      <c r="C835">
        <v>-5</v>
      </c>
      <c r="D835">
        <v>2</v>
      </c>
      <c r="E835" t="s">
        <v>23</v>
      </c>
      <c r="F835" t="s">
        <v>57</v>
      </c>
      <c r="G835" t="s">
        <v>28</v>
      </c>
    </row>
    <row r="836" spans="1:7" x14ac:dyDescent="0.25">
      <c r="A836" t="s">
        <v>205</v>
      </c>
      <c r="B836">
        <v>121</v>
      </c>
      <c r="C836">
        <v>-17</v>
      </c>
      <c r="D836">
        <v>3</v>
      </c>
      <c r="E836" t="s">
        <v>12</v>
      </c>
      <c r="F836" t="s">
        <v>131</v>
      </c>
      <c r="G836" t="s">
        <v>19</v>
      </c>
    </row>
    <row r="837" spans="1:7" x14ac:dyDescent="0.25">
      <c r="A837" t="s">
        <v>141</v>
      </c>
      <c r="B837">
        <v>42</v>
      </c>
      <c r="C837">
        <v>-15</v>
      </c>
      <c r="D837">
        <v>12</v>
      </c>
      <c r="E837" t="s">
        <v>23</v>
      </c>
      <c r="F837" t="s">
        <v>43</v>
      </c>
      <c r="G837" t="s">
        <v>28</v>
      </c>
    </row>
    <row r="838" spans="1:7" x14ac:dyDescent="0.25">
      <c r="A838" t="s">
        <v>262</v>
      </c>
      <c r="B838">
        <v>65</v>
      </c>
      <c r="C838">
        <v>-4</v>
      </c>
      <c r="D838">
        <v>6</v>
      </c>
      <c r="E838" t="s">
        <v>23</v>
      </c>
      <c r="F838" t="s">
        <v>30</v>
      </c>
      <c r="G838" t="s">
        <v>10</v>
      </c>
    </row>
    <row r="839" spans="1:7" x14ac:dyDescent="0.25">
      <c r="A839" t="s">
        <v>386</v>
      </c>
      <c r="B839">
        <v>119</v>
      </c>
      <c r="C839">
        <v>-43</v>
      </c>
      <c r="D839">
        <v>7</v>
      </c>
      <c r="E839" t="s">
        <v>23</v>
      </c>
      <c r="F839" t="s">
        <v>32</v>
      </c>
      <c r="G839" t="s">
        <v>19</v>
      </c>
    </row>
    <row r="840" spans="1:7" x14ac:dyDescent="0.25">
      <c r="A840" t="s">
        <v>400</v>
      </c>
      <c r="B840">
        <v>155</v>
      </c>
      <c r="C840">
        <v>56</v>
      </c>
      <c r="D840">
        <v>3</v>
      </c>
      <c r="E840" t="s">
        <v>12</v>
      </c>
      <c r="F840" t="s">
        <v>131</v>
      </c>
      <c r="G840" t="s">
        <v>14</v>
      </c>
    </row>
    <row r="841" spans="1:7" x14ac:dyDescent="0.25">
      <c r="A841" t="s">
        <v>20</v>
      </c>
      <c r="B841">
        <v>119</v>
      </c>
      <c r="C841">
        <v>-5</v>
      </c>
      <c r="D841">
        <v>8</v>
      </c>
      <c r="E841" t="s">
        <v>23</v>
      </c>
      <c r="F841" t="s">
        <v>26</v>
      </c>
      <c r="G841" t="s">
        <v>19</v>
      </c>
    </row>
    <row r="842" spans="1:7" x14ac:dyDescent="0.25">
      <c r="A842" t="s">
        <v>422</v>
      </c>
      <c r="B842">
        <v>118</v>
      </c>
      <c r="C842">
        <v>25</v>
      </c>
      <c r="D842">
        <v>4</v>
      </c>
      <c r="E842" t="s">
        <v>23</v>
      </c>
      <c r="F842" t="s">
        <v>30</v>
      </c>
      <c r="G842" t="s">
        <v>19</v>
      </c>
    </row>
    <row r="843" spans="1:7" x14ac:dyDescent="0.25">
      <c r="A843" t="s">
        <v>132</v>
      </c>
      <c r="B843">
        <v>116</v>
      </c>
      <c r="C843">
        <v>22</v>
      </c>
      <c r="D843">
        <v>1</v>
      </c>
      <c r="E843" t="s">
        <v>8</v>
      </c>
      <c r="F843" t="s">
        <v>73</v>
      </c>
      <c r="G843" t="s">
        <v>19</v>
      </c>
    </row>
    <row r="844" spans="1:7" x14ac:dyDescent="0.25">
      <c r="A844" t="s">
        <v>46</v>
      </c>
      <c r="B844">
        <v>158</v>
      </c>
      <c r="C844">
        <v>-29</v>
      </c>
      <c r="D844">
        <v>10</v>
      </c>
      <c r="E844" t="s">
        <v>23</v>
      </c>
      <c r="F844" t="s">
        <v>30</v>
      </c>
      <c r="G844" t="s">
        <v>14</v>
      </c>
    </row>
    <row r="845" spans="1:7" x14ac:dyDescent="0.25">
      <c r="A845" t="s">
        <v>323</v>
      </c>
      <c r="B845">
        <v>158</v>
      </c>
      <c r="C845">
        <v>69</v>
      </c>
      <c r="D845">
        <v>3</v>
      </c>
      <c r="E845" t="s">
        <v>23</v>
      </c>
      <c r="F845" t="s">
        <v>57</v>
      </c>
      <c r="G845" t="s">
        <v>14</v>
      </c>
    </row>
    <row r="846" spans="1:7" x14ac:dyDescent="0.25">
      <c r="A846" t="s">
        <v>288</v>
      </c>
      <c r="B846">
        <v>65</v>
      </c>
      <c r="C846">
        <v>-52</v>
      </c>
      <c r="D846">
        <v>3</v>
      </c>
      <c r="E846" t="s">
        <v>8</v>
      </c>
      <c r="F846" t="s">
        <v>73</v>
      </c>
      <c r="G846" t="s">
        <v>10</v>
      </c>
    </row>
    <row r="847" spans="1:7" x14ac:dyDescent="0.25">
      <c r="A847" t="s">
        <v>423</v>
      </c>
      <c r="B847">
        <v>160</v>
      </c>
      <c r="C847">
        <v>-59</v>
      </c>
      <c r="D847">
        <v>2</v>
      </c>
      <c r="E847" t="s">
        <v>23</v>
      </c>
      <c r="F847" t="s">
        <v>26</v>
      </c>
      <c r="G847" t="s">
        <v>14</v>
      </c>
    </row>
    <row r="848" spans="1:7" x14ac:dyDescent="0.25">
      <c r="A848" t="s">
        <v>74</v>
      </c>
      <c r="B848">
        <v>162</v>
      </c>
      <c r="C848">
        <v>20</v>
      </c>
      <c r="D848">
        <v>3</v>
      </c>
      <c r="E848" t="s">
        <v>12</v>
      </c>
      <c r="F848" t="s">
        <v>13</v>
      </c>
      <c r="G848" t="s">
        <v>14</v>
      </c>
    </row>
    <row r="849" spans="1:7" x14ac:dyDescent="0.25">
      <c r="A849" t="s">
        <v>184</v>
      </c>
      <c r="B849">
        <v>63</v>
      </c>
      <c r="C849">
        <v>1</v>
      </c>
      <c r="D849">
        <v>4</v>
      </c>
      <c r="E849" t="s">
        <v>23</v>
      </c>
      <c r="F849" t="s">
        <v>81</v>
      </c>
      <c r="G849" t="s">
        <v>10</v>
      </c>
    </row>
    <row r="850" spans="1:7" x14ac:dyDescent="0.25">
      <c r="A850" t="s">
        <v>424</v>
      </c>
      <c r="B850">
        <v>64</v>
      </c>
      <c r="C850">
        <v>27</v>
      </c>
      <c r="D850">
        <v>5</v>
      </c>
      <c r="E850" t="s">
        <v>23</v>
      </c>
      <c r="F850" t="s">
        <v>30</v>
      </c>
      <c r="G850" t="s">
        <v>28</v>
      </c>
    </row>
    <row r="851" spans="1:7" x14ac:dyDescent="0.25">
      <c r="A851" t="s">
        <v>425</v>
      </c>
      <c r="B851">
        <v>166</v>
      </c>
      <c r="C851">
        <v>-113</v>
      </c>
      <c r="D851">
        <v>4</v>
      </c>
      <c r="E851" t="s">
        <v>8</v>
      </c>
      <c r="F851" t="s">
        <v>73</v>
      </c>
      <c r="G851" t="s">
        <v>14</v>
      </c>
    </row>
    <row r="852" spans="1:7" x14ac:dyDescent="0.25">
      <c r="A852" t="s">
        <v>426</v>
      </c>
      <c r="B852">
        <v>167</v>
      </c>
      <c r="C852">
        <v>43</v>
      </c>
      <c r="D852">
        <v>7</v>
      </c>
      <c r="E852" t="s">
        <v>23</v>
      </c>
      <c r="F852" t="s">
        <v>81</v>
      </c>
      <c r="G852" t="s">
        <v>14</v>
      </c>
    </row>
    <row r="853" spans="1:7" x14ac:dyDescent="0.25">
      <c r="A853" t="s">
        <v>427</v>
      </c>
      <c r="B853">
        <v>123</v>
      </c>
      <c r="C853">
        <v>17</v>
      </c>
      <c r="D853">
        <v>3</v>
      </c>
      <c r="E853" t="s">
        <v>12</v>
      </c>
      <c r="F853" t="s">
        <v>131</v>
      </c>
      <c r="G853" t="s">
        <v>10</v>
      </c>
    </row>
    <row r="854" spans="1:7" x14ac:dyDescent="0.25">
      <c r="A854" t="s">
        <v>125</v>
      </c>
      <c r="B854">
        <v>63</v>
      </c>
      <c r="C854">
        <v>14</v>
      </c>
      <c r="D854">
        <v>2</v>
      </c>
      <c r="E854" t="s">
        <v>23</v>
      </c>
      <c r="F854" t="s">
        <v>142</v>
      </c>
      <c r="G854" t="s">
        <v>10</v>
      </c>
    </row>
    <row r="855" spans="1:7" x14ac:dyDescent="0.25">
      <c r="A855" t="s">
        <v>328</v>
      </c>
      <c r="B855">
        <v>891</v>
      </c>
      <c r="C855">
        <v>0</v>
      </c>
      <c r="D855">
        <v>5</v>
      </c>
      <c r="E855" t="s">
        <v>23</v>
      </c>
      <c r="F855" t="s">
        <v>26</v>
      </c>
      <c r="G855" t="s">
        <v>10</v>
      </c>
    </row>
    <row r="856" spans="1:7" x14ac:dyDescent="0.25">
      <c r="A856" t="s">
        <v>198</v>
      </c>
      <c r="B856">
        <v>75</v>
      </c>
      <c r="C856">
        <v>28</v>
      </c>
      <c r="D856">
        <v>9</v>
      </c>
      <c r="E856" t="s">
        <v>23</v>
      </c>
      <c r="F856" t="s">
        <v>30</v>
      </c>
      <c r="G856" t="s">
        <v>28</v>
      </c>
    </row>
    <row r="857" spans="1:7" x14ac:dyDescent="0.25">
      <c r="A857" t="s">
        <v>271</v>
      </c>
      <c r="B857">
        <v>62</v>
      </c>
      <c r="C857">
        <v>6</v>
      </c>
      <c r="D857">
        <v>5</v>
      </c>
      <c r="E857" t="s">
        <v>23</v>
      </c>
      <c r="F857" t="s">
        <v>30</v>
      </c>
      <c r="G857" t="s">
        <v>10</v>
      </c>
    </row>
    <row r="858" spans="1:7" x14ac:dyDescent="0.25">
      <c r="A858" t="s">
        <v>340</v>
      </c>
      <c r="B858">
        <v>29</v>
      </c>
      <c r="C858">
        <v>-18</v>
      </c>
      <c r="D858">
        <v>7</v>
      </c>
      <c r="E858" t="s">
        <v>23</v>
      </c>
      <c r="F858" t="s">
        <v>43</v>
      </c>
      <c r="G858" t="s">
        <v>28</v>
      </c>
    </row>
    <row r="859" spans="1:7" x14ac:dyDescent="0.25">
      <c r="A859" t="s">
        <v>428</v>
      </c>
      <c r="B859">
        <v>168</v>
      </c>
      <c r="C859">
        <v>18</v>
      </c>
      <c r="D859">
        <v>6</v>
      </c>
      <c r="E859" t="s">
        <v>23</v>
      </c>
      <c r="F859" t="s">
        <v>57</v>
      </c>
      <c r="G859" t="s">
        <v>82</v>
      </c>
    </row>
    <row r="860" spans="1:7" x14ac:dyDescent="0.25">
      <c r="A860" t="s">
        <v>211</v>
      </c>
      <c r="B860">
        <v>70</v>
      </c>
      <c r="C860">
        <v>24</v>
      </c>
      <c r="D860">
        <v>3</v>
      </c>
      <c r="E860" t="s">
        <v>23</v>
      </c>
      <c r="F860" t="s">
        <v>57</v>
      </c>
      <c r="G860" t="s">
        <v>28</v>
      </c>
    </row>
    <row r="861" spans="1:7" x14ac:dyDescent="0.25">
      <c r="A861" t="s">
        <v>230</v>
      </c>
      <c r="B861">
        <v>169</v>
      </c>
      <c r="C861">
        <v>55</v>
      </c>
      <c r="D861">
        <v>4</v>
      </c>
      <c r="E861" t="s">
        <v>23</v>
      </c>
      <c r="F861" t="s">
        <v>26</v>
      </c>
      <c r="G861" t="s">
        <v>82</v>
      </c>
    </row>
    <row r="862" spans="1:7" x14ac:dyDescent="0.25">
      <c r="A862" t="s">
        <v>152</v>
      </c>
      <c r="B862">
        <v>32</v>
      </c>
      <c r="C862">
        <v>-8</v>
      </c>
      <c r="D862">
        <v>2</v>
      </c>
      <c r="E862" t="s">
        <v>23</v>
      </c>
      <c r="F862" t="s">
        <v>57</v>
      </c>
      <c r="G862" t="s">
        <v>10</v>
      </c>
    </row>
    <row r="863" spans="1:7" x14ac:dyDescent="0.25">
      <c r="A863" t="s">
        <v>119</v>
      </c>
      <c r="B863">
        <v>44</v>
      </c>
      <c r="C863">
        <v>-8</v>
      </c>
      <c r="D863">
        <v>3</v>
      </c>
      <c r="E863" t="s">
        <v>23</v>
      </c>
      <c r="F863" t="s">
        <v>57</v>
      </c>
      <c r="G863" t="s">
        <v>28</v>
      </c>
    </row>
    <row r="864" spans="1:7" x14ac:dyDescent="0.25">
      <c r="A864" t="s">
        <v>107</v>
      </c>
      <c r="B864">
        <v>116</v>
      </c>
      <c r="C864">
        <v>-56</v>
      </c>
      <c r="D864">
        <v>5</v>
      </c>
      <c r="E864" t="s">
        <v>23</v>
      </c>
      <c r="F864" t="s">
        <v>57</v>
      </c>
      <c r="G864" t="s">
        <v>19</v>
      </c>
    </row>
    <row r="865" spans="1:7" x14ac:dyDescent="0.25">
      <c r="A865" t="s">
        <v>429</v>
      </c>
      <c r="B865">
        <v>156</v>
      </c>
      <c r="C865">
        <v>21</v>
      </c>
      <c r="D865">
        <v>3</v>
      </c>
      <c r="E865" t="s">
        <v>12</v>
      </c>
      <c r="F865" t="s">
        <v>13</v>
      </c>
      <c r="G865" t="s">
        <v>10</v>
      </c>
    </row>
    <row r="866" spans="1:7" x14ac:dyDescent="0.25">
      <c r="A866" t="s">
        <v>173</v>
      </c>
      <c r="B866">
        <v>62</v>
      </c>
      <c r="C866">
        <v>6</v>
      </c>
      <c r="D866">
        <v>6</v>
      </c>
      <c r="E866" t="s">
        <v>23</v>
      </c>
      <c r="F866" t="s">
        <v>43</v>
      </c>
      <c r="G866" t="s">
        <v>10</v>
      </c>
    </row>
    <row r="867" spans="1:7" x14ac:dyDescent="0.25">
      <c r="A867" t="s">
        <v>50</v>
      </c>
      <c r="B867">
        <v>54</v>
      </c>
      <c r="C867">
        <v>1</v>
      </c>
      <c r="D867">
        <v>2</v>
      </c>
      <c r="E867" t="s">
        <v>23</v>
      </c>
      <c r="F867" t="s">
        <v>26</v>
      </c>
      <c r="G867" t="s">
        <v>28</v>
      </c>
    </row>
    <row r="868" spans="1:7" x14ac:dyDescent="0.25">
      <c r="A868" t="s">
        <v>179</v>
      </c>
      <c r="B868">
        <v>111</v>
      </c>
      <c r="C868">
        <v>11</v>
      </c>
      <c r="D868">
        <v>9</v>
      </c>
      <c r="E868" t="s">
        <v>23</v>
      </c>
      <c r="F868" t="s">
        <v>30</v>
      </c>
      <c r="G868" t="s">
        <v>19</v>
      </c>
    </row>
    <row r="869" spans="1:7" x14ac:dyDescent="0.25">
      <c r="A869" t="s">
        <v>430</v>
      </c>
      <c r="B869">
        <v>158</v>
      </c>
      <c r="C869">
        <v>-63</v>
      </c>
      <c r="D869">
        <v>4</v>
      </c>
      <c r="E869" t="s">
        <v>12</v>
      </c>
      <c r="F869" t="s">
        <v>13</v>
      </c>
      <c r="G869" t="s">
        <v>28</v>
      </c>
    </row>
    <row r="870" spans="1:7" x14ac:dyDescent="0.25">
      <c r="A870" t="s">
        <v>215</v>
      </c>
      <c r="B870">
        <v>7</v>
      </c>
      <c r="C870">
        <v>-3</v>
      </c>
      <c r="D870">
        <v>2</v>
      </c>
      <c r="E870" t="s">
        <v>23</v>
      </c>
      <c r="F870" t="s">
        <v>43</v>
      </c>
      <c r="G870" t="s">
        <v>28</v>
      </c>
    </row>
    <row r="871" spans="1:7" x14ac:dyDescent="0.25">
      <c r="A871" t="s">
        <v>378</v>
      </c>
      <c r="B871">
        <v>61</v>
      </c>
      <c r="C871">
        <v>28</v>
      </c>
      <c r="D871">
        <v>2</v>
      </c>
      <c r="E871" t="s">
        <v>23</v>
      </c>
      <c r="F871" t="s">
        <v>30</v>
      </c>
      <c r="G871" t="s">
        <v>28</v>
      </c>
    </row>
    <row r="872" spans="1:7" x14ac:dyDescent="0.25">
      <c r="A872" t="s">
        <v>208</v>
      </c>
      <c r="B872">
        <v>61</v>
      </c>
      <c r="C872">
        <v>-50</v>
      </c>
      <c r="D872">
        <v>4</v>
      </c>
      <c r="E872" t="s">
        <v>23</v>
      </c>
      <c r="F872" t="s">
        <v>30</v>
      </c>
      <c r="G872" t="s">
        <v>10</v>
      </c>
    </row>
    <row r="873" spans="1:7" x14ac:dyDescent="0.25">
      <c r="A873" t="s">
        <v>306</v>
      </c>
      <c r="B873">
        <v>154</v>
      </c>
      <c r="C873">
        <v>26</v>
      </c>
      <c r="D873">
        <v>4</v>
      </c>
      <c r="E873" t="s">
        <v>8</v>
      </c>
      <c r="F873" t="s">
        <v>73</v>
      </c>
      <c r="G873" t="s">
        <v>10</v>
      </c>
    </row>
    <row r="874" spans="1:7" x14ac:dyDescent="0.25">
      <c r="A874" t="s">
        <v>31</v>
      </c>
      <c r="B874">
        <v>62</v>
      </c>
      <c r="C874">
        <v>1</v>
      </c>
      <c r="D874">
        <v>3</v>
      </c>
      <c r="E874" t="s">
        <v>23</v>
      </c>
      <c r="F874" t="s">
        <v>26</v>
      </c>
      <c r="G874" t="s">
        <v>10</v>
      </c>
    </row>
    <row r="875" spans="1:7" x14ac:dyDescent="0.25">
      <c r="A875" t="s">
        <v>431</v>
      </c>
      <c r="B875">
        <v>169</v>
      </c>
      <c r="C875">
        <v>38</v>
      </c>
      <c r="D875">
        <v>3</v>
      </c>
      <c r="E875" t="s">
        <v>23</v>
      </c>
      <c r="F875" t="s">
        <v>26</v>
      </c>
      <c r="G875" t="s">
        <v>82</v>
      </c>
    </row>
    <row r="876" spans="1:7" x14ac:dyDescent="0.25">
      <c r="A876" t="s">
        <v>408</v>
      </c>
      <c r="B876">
        <v>61</v>
      </c>
      <c r="C876">
        <v>18</v>
      </c>
      <c r="D876">
        <v>2</v>
      </c>
      <c r="E876" t="s">
        <v>8</v>
      </c>
      <c r="F876" t="s">
        <v>73</v>
      </c>
      <c r="G876" t="s">
        <v>10</v>
      </c>
    </row>
    <row r="877" spans="1:7" x14ac:dyDescent="0.25">
      <c r="A877" t="s">
        <v>123</v>
      </c>
      <c r="B877">
        <v>61</v>
      </c>
      <c r="C877">
        <v>-23</v>
      </c>
      <c r="D877">
        <v>2</v>
      </c>
      <c r="E877" t="s">
        <v>23</v>
      </c>
      <c r="F877" t="s">
        <v>26</v>
      </c>
      <c r="G877" t="s">
        <v>10</v>
      </c>
    </row>
    <row r="878" spans="1:7" x14ac:dyDescent="0.25">
      <c r="A878" t="s">
        <v>432</v>
      </c>
      <c r="B878">
        <v>171</v>
      </c>
      <c r="C878">
        <v>14</v>
      </c>
      <c r="D878">
        <v>9</v>
      </c>
      <c r="E878" t="s">
        <v>23</v>
      </c>
      <c r="F878" t="s">
        <v>142</v>
      </c>
      <c r="G878" t="s">
        <v>82</v>
      </c>
    </row>
    <row r="879" spans="1:7" x14ac:dyDescent="0.25">
      <c r="A879" t="s">
        <v>276</v>
      </c>
      <c r="B879">
        <v>60</v>
      </c>
      <c r="C879">
        <v>-49</v>
      </c>
      <c r="D879">
        <v>8</v>
      </c>
      <c r="E879" t="s">
        <v>23</v>
      </c>
      <c r="F879" t="s">
        <v>30</v>
      </c>
      <c r="G879" t="s">
        <v>10</v>
      </c>
    </row>
    <row r="880" spans="1:7" x14ac:dyDescent="0.25">
      <c r="A880" t="s">
        <v>388</v>
      </c>
      <c r="B880">
        <v>25</v>
      </c>
      <c r="C880">
        <v>-11</v>
      </c>
      <c r="D880">
        <v>1</v>
      </c>
      <c r="E880" t="s">
        <v>23</v>
      </c>
      <c r="F880" t="s">
        <v>57</v>
      </c>
      <c r="G880" t="s">
        <v>28</v>
      </c>
    </row>
    <row r="881" spans="1:7" x14ac:dyDescent="0.25">
      <c r="A881" t="s">
        <v>188</v>
      </c>
      <c r="B881">
        <v>163</v>
      </c>
      <c r="C881">
        <v>26</v>
      </c>
      <c r="D881">
        <v>4</v>
      </c>
      <c r="E881" t="s">
        <v>23</v>
      </c>
      <c r="F881" t="s">
        <v>142</v>
      </c>
      <c r="G881" t="s">
        <v>10</v>
      </c>
    </row>
    <row r="882" spans="1:7" x14ac:dyDescent="0.25">
      <c r="A882" t="s">
        <v>164</v>
      </c>
      <c r="B882">
        <v>173</v>
      </c>
      <c r="C882">
        <v>86</v>
      </c>
      <c r="D882">
        <v>1</v>
      </c>
      <c r="E882" t="s">
        <v>8</v>
      </c>
      <c r="F882" t="s">
        <v>18</v>
      </c>
      <c r="G882" t="s">
        <v>82</v>
      </c>
    </row>
    <row r="883" spans="1:7" x14ac:dyDescent="0.25">
      <c r="A883" t="s">
        <v>67</v>
      </c>
      <c r="B883">
        <v>257</v>
      </c>
      <c r="C883">
        <v>-3</v>
      </c>
      <c r="D883">
        <v>2</v>
      </c>
      <c r="E883" t="s">
        <v>12</v>
      </c>
      <c r="F883" t="s">
        <v>16</v>
      </c>
      <c r="G883" t="s">
        <v>28</v>
      </c>
    </row>
    <row r="884" spans="1:7" x14ac:dyDescent="0.25">
      <c r="A884" t="s">
        <v>433</v>
      </c>
      <c r="B884">
        <v>108</v>
      </c>
      <c r="C884">
        <v>37</v>
      </c>
      <c r="D884">
        <v>2</v>
      </c>
      <c r="E884" t="s">
        <v>23</v>
      </c>
      <c r="F884" t="s">
        <v>57</v>
      </c>
      <c r="G884" t="s">
        <v>19</v>
      </c>
    </row>
    <row r="885" spans="1:7" x14ac:dyDescent="0.25">
      <c r="A885" t="s">
        <v>434</v>
      </c>
      <c r="B885">
        <v>177</v>
      </c>
      <c r="C885">
        <v>41</v>
      </c>
      <c r="D885">
        <v>4</v>
      </c>
      <c r="E885" t="s">
        <v>23</v>
      </c>
      <c r="F885" t="s">
        <v>142</v>
      </c>
      <c r="G885" t="s">
        <v>82</v>
      </c>
    </row>
    <row r="886" spans="1:7" x14ac:dyDescent="0.25">
      <c r="A886" t="s">
        <v>104</v>
      </c>
      <c r="B886">
        <v>106</v>
      </c>
      <c r="C886">
        <v>15</v>
      </c>
      <c r="D886">
        <v>7</v>
      </c>
      <c r="E886" t="s">
        <v>23</v>
      </c>
      <c r="F886" t="s">
        <v>30</v>
      </c>
      <c r="G886" t="s">
        <v>19</v>
      </c>
    </row>
    <row r="887" spans="1:7" x14ac:dyDescent="0.25">
      <c r="A887" t="s">
        <v>54</v>
      </c>
      <c r="B887">
        <v>41</v>
      </c>
      <c r="C887">
        <v>-14</v>
      </c>
      <c r="D887">
        <v>5</v>
      </c>
      <c r="E887" t="s">
        <v>23</v>
      </c>
      <c r="F887" t="s">
        <v>63</v>
      </c>
      <c r="G887" t="s">
        <v>28</v>
      </c>
    </row>
    <row r="888" spans="1:7" x14ac:dyDescent="0.25">
      <c r="A888" t="s">
        <v>117</v>
      </c>
      <c r="B888">
        <v>168</v>
      </c>
      <c r="C888">
        <v>-10</v>
      </c>
      <c r="D888">
        <v>3</v>
      </c>
      <c r="E888" t="s">
        <v>8</v>
      </c>
      <c r="F888" t="s">
        <v>73</v>
      </c>
      <c r="G888" t="s">
        <v>28</v>
      </c>
    </row>
    <row r="889" spans="1:7" x14ac:dyDescent="0.25">
      <c r="A889" t="s">
        <v>139</v>
      </c>
      <c r="B889">
        <v>60</v>
      </c>
      <c r="C889">
        <v>21</v>
      </c>
      <c r="D889">
        <v>4</v>
      </c>
      <c r="E889" t="s">
        <v>23</v>
      </c>
      <c r="F889" t="s">
        <v>57</v>
      </c>
      <c r="G889" t="s">
        <v>10</v>
      </c>
    </row>
    <row r="890" spans="1:7" x14ac:dyDescent="0.25">
      <c r="A890" t="s">
        <v>435</v>
      </c>
      <c r="B890">
        <v>31</v>
      </c>
      <c r="C890">
        <v>-11</v>
      </c>
      <c r="D890">
        <v>4</v>
      </c>
      <c r="E890" t="s">
        <v>23</v>
      </c>
      <c r="F890" t="s">
        <v>57</v>
      </c>
      <c r="G890" t="s">
        <v>10</v>
      </c>
    </row>
    <row r="891" spans="1:7" x14ac:dyDescent="0.25">
      <c r="A891" t="s">
        <v>228</v>
      </c>
      <c r="B891">
        <v>179</v>
      </c>
      <c r="C891">
        <v>0</v>
      </c>
      <c r="D891">
        <v>2</v>
      </c>
      <c r="E891" t="s">
        <v>23</v>
      </c>
      <c r="F891" t="s">
        <v>26</v>
      </c>
      <c r="G891" t="s">
        <v>82</v>
      </c>
    </row>
    <row r="892" spans="1:7" x14ac:dyDescent="0.25">
      <c r="A892" t="s">
        <v>172</v>
      </c>
      <c r="B892">
        <v>106</v>
      </c>
      <c r="C892">
        <v>12</v>
      </c>
      <c r="D892">
        <v>3</v>
      </c>
      <c r="E892" t="s">
        <v>23</v>
      </c>
      <c r="F892" t="s">
        <v>24</v>
      </c>
      <c r="G892" t="s">
        <v>19</v>
      </c>
    </row>
    <row r="893" spans="1:7" x14ac:dyDescent="0.25">
      <c r="A893" t="s">
        <v>294</v>
      </c>
      <c r="B893">
        <v>60</v>
      </c>
      <c r="C893">
        <v>13</v>
      </c>
      <c r="D893">
        <v>2</v>
      </c>
      <c r="E893" t="s">
        <v>23</v>
      </c>
      <c r="F893" t="s">
        <v>81</v>
      </c>
      <c r="G893" t="s">
        <v>10</v>
      </c>
    </row>
    <row r="894" spans="1:7" x14ac:dyDescent="0.25">
      <c r="A894" t="s">
        <v>149</v>
      </c>
      <c r="B894">
        <v>180</v>
      </c>
      <c r="C894">
        <v>5</v>
      </c>
      <c r="D894">
        <v>3</v>
      </c>
      <c r="E894" t="s">
        <v>23</v>
      </c>
      <c r="F894" t="s">
        <v>24</v>
      </c>
      <c r="G894" t="s">
        <v>82</v>
      </c>
    </row>
    <row r="895" spans="1:7" x14ac:dyDescent="0.25">
      <c r="A895" t="s">
        <v>134</v>
      </c>
      <c r="B895">
        <v>60</v>
      </c>
      <c r="C895">
        <v>-10</v>
      </c>
      <c r="D895">
        <v>2</v>
      </c>
      <c r="E895" t="s">
        <v>12</v>
      </c>
      <c r="F895" t="s">
        <v>131</v>
      </c>
      <c r="G895" t="s">
        <v>10</v>
      </c>
    </row>
    <row r="896" spans="1:7" x14ac:dyDescent="0.25">
      <c r="A896" t="s">
        <v>389</v>
      </c>
      <c r="B896">
        <v>59</v>
      </c>
      <c r="C896">
        <v>25</v>
      </c>
      <c r="D896">
        <v>3</v>
      </c>
      <c r="E896" t="s">
        <v>23</v>
      </c>
      <c r="F896" t="s">
        <v>57</v>
      </c>
      <c r="G896" t="s">
        <v>10</v>
      </c>
    </row>
    <row r="897" spans="1:7" x14ac:dyDescent="0.25">
      <c r="A897" t="s">
        <v>84</v>
      </c>
      <c r="B897">
        <v>170</v>
      </c>
      <c r="C897">
        <v>73</v>
      </c>
      <c r="D897">
        <v>2</v>
      </c>
      <c r="E897" t="s">
        <v>8</v>
      </c>
      <c r="F897" t="s">
        <v>73</v>
      </c>
      <c r="G897" t="s">
        <v>28</v>
      </c>
    </row>
    <row r="898" spans="1:7" x14ac:dyDescent="0.25">
      <c r="A898" t="s">
        <v>394</v>
      </c>
      <c r="B898">
        <v>59</v>
      </c>
      <c r="C898">
        <v>10</v>
      </c>
      <c r="D898">
        <v>2</v>
      </c>
      <c r="E898" t="s">
        <v>23</v>
      </c>
      <c r="F898" t="s">
        <v>30</v>
      </c>
      <c r="G898" t="s">
        <v>10</v>
      </c>
    </row>
    <row r="899" spans="1:7" x14ac:dyDescent="0.25">
      <c r="A899" t="s">
        <v>308</v>
      </c>
      <c r="B899">
        <v>24</v>
      </c>
      <c r="C899">
        <v>-21</v>
      </c>
      <c r="D899">
        <v>7</v>
      </c>
      <c r="E899" t="s">
        <v>23</v>
      </c>
      <c r="F899" t="s">
        <v>43</v>
      </c>
      <c r="G899" t="s">
        <v>10</v>
      </c>
    </row>
    <row r="900" spans="1:7" x14ac:dyDescent="0.25">
      <c r="A900" t="s">
        <v>59</v>
      </c>
      <c r="B900">
        <v>105</v>
      </c>
      <c r="C900">
        <v>-26</v>
      </c>
      <c r="D900">
        <v>8</v>
      </c>
      <c r="E900" t="s">
        <v>23</v>
      </c>
      <c r="F900" t="s">
        <v>63</v>
      </c>
      <c r="G900" t="s">
        <v>19</v>
      </c>
    </row>
    <row r="901" spans="1:7" x14ac:dyDescent="0.25">
      <c r="A901" t="s">
        <v>243</v>
      </c>
      <c r="B901">
        <v>103</v>
      </c>
      <c r="C901">
        <v>46</v>
      </c>
      <c r="D901">
        <v>2</v>
      </c>
      <c r="E901" t="s">
        <v>23</v>
      </c>
      <c r="F901" t="s">
        <v>26</v>
      </c>
      <c r="G901" t="s">
        <v>19</v>
      </c>
    </row>
    <row r="902" spans="1:7" x14ac:dyDescent="0.25">
      <c r="A902" t="s">
        <v>436</v>
      </c>
      <c r="B902">
        <v>171</v>
      </c>
      <c r="C902">
        <v>17</v>
      </c>
      <c r="D902">
        <v>6</v>
      </c>
      <c r="E902" t="s">
        <v>23</v>
      </c>
      <c r="F902" t="s">
        <v>81</v>
      </c>
      <c r="G902" t="s">
        <v>28</v>
      </c>
    </row>
    <row r="903" spans="1:7" x14ac:dyDescent="0.25">
      <c r="A903" t="s">
        <v>179</v>
      </c>
      <c r="B903">
        <v>102</v>
      </c>
      <c r="C903">
        <v>13</v>
      </c>
      <c r="D903">
        <v>2</v>
      </c>
      <c r="E903" t="s">
        <v>23</v>
      </c>
      <c r="F903" t="s">
        <v>57</v>
      </c>
      <c r="G903" t="s">
        <v>19</v>
      </c>
    </row>
    <row r="904" spans="1:7" x14ac:dyDescent="0.25">
      <c r="A904" t="s">
        <v>171</v>
      </c>
      <c r="B904">
        <v>98</v>
      </c>
      <c r="C904">
        <v>12</v>
      </c>
      <c r="D904">
        <v>2</v>
      </c>
      <c r="E904" t="s">
        <v>23</v>
      </c>
      <c r="F904" t="s">
        <v>30</v>
      </c>
      <c r="G904" t="s">
        <v>19</v>
      </c>
    </row>
    <row r="905" spans="1:7" x14ac:dyDescent="0.25">
      <c r="A905" t="s">
        <v>323</v>
      </c>
      <c r="B905">
        <v>59</v>
      </c>
      <c r="C905">
        <v>10</v>
      </c>
      <c r="D905">
        <v>4</v>
      </c>
      <c r="E905" t="s">
        <v>23</v>
      </c>
      <c r="F905" t="s">
        <v>63</v>
      </c>
      <c r="G905" t="s">
        <v>10</v>
      </c>
    </row>
    <row r="906" spans="1:7" x14ac:dyDescent="0.25">
      <c r="A906" t="s">
        <v>328</v>
      </c>
      <c r="B906">
        <v>189</v>
      </c>
      <c r="C906">
        <v>60</v>
      </c>
      <c r="D906">
        <v>4</v>
      </c>
      <c r="E906" t="s">
        <v>12</v>
      </c>
      <c r="F906" t="s">
        <v>131</v>
      </c>
      <c r="G906" t="s">
        <v>82</v>
      </c>
    </row>
    <row r="907" spans="1:7" x14ac:dyDescent="0.25">
      <c r="A907" t="s">
        <v>437</v>
      </c>
      <c r="B907">
        <v>58</v>
      </c>
      <c r="C907">
        <v>-52</v>
      </c>
      <c r="D907">
        <v>3</v>
      </c>
      <c r="E907" t="s">
        <v>12</v>
      </c>
      <c r="F907" t="s">
        <v>13</v>
      </c>
      <c r="G907" t="s">
        <v>10</v>
      </c>
    </row>
    <row r="908" spans="1:7" x14ac:dyDescent="0.25">
      <c r="A908" t="s">
        <v>125</v>
      </c>
      <c r="B908">
        <v>60</v>
      </c>
      <c r="C908">
        <v>3</v>
      </c>
      <c r="D908">
        <v>3</v>
      </c>
      <c r="E908" t="s">
        <v>23</v>
      </c>
      <c r="F908" t="s">
        <v>26</v>
      </c>
      <c r="G908" t="s">
        <v>28</v>
      </c>
    </row>
    <row r="909" spans="1:7" x14ac:dyDescent="0.25">
      <c r="A909" t="s">
        <v>438</v>
      </c>
      <c r="B909">
        <v>58</v>
      </c>
      <c r="C909">
        <v>-8</v>
      </c>
      <c r="D909">
        <v>2</v>
      </c>
      <c r="E909" t="s">
        <v>23</v>
      </c>
      <c r="F909" t="s">
        <v>26</v>
      </c>
      <c r="G909" t="s">
        <v>10</v>
      </c>
    </row>
    <row r="910" spans="1:7" x14ac:dyDescent="0.25">
      <c r="A910" t="s">
        <v>198</v>
      </c>
      <c r="B910">
        <v>94</v>
      </c>
      <c r="C910">
        <v>20</v>
      </c>
      <c r="D910">
        <v>2</v>
      </c>
      <c r="E910" t="s">
        <v>12</v>
      </c>
      <c r="F910" t="s">
        <v>131</v>
      </c>
      <c r="G910" t="s">
        <v>28</v>
      </c>
    </row>
    <row r="911" spans="1:7" x14ac:dyDescent="0.25">
      <c r="A911" t="s">
        <v>149</v>
      </c>
      <c r="B911">
        <v>193</v>
      </c>
      <c r="C911">
        <v>-166</v>
      </c>
      <c r="D911">
        <v>3</v>
      </c>
      <c r="E911" t="s">
        <v>23</v>
      </c>
      <c r="F911" t="s">
        <v>26</v>
      </c>
      <c r="G911" t="s">
        <v>14</v>
      </c>
    </row>
    <row r="912" spans="1:7" x14ac:dyDescent="0.25">
      <c r="A912" t="s">
        <v>235</v>
      </c>
      <c r="B912">
        <v>199</v>
      </c>
      <c r="C912">
        <v>0</v>
      </c>
      <c r="D912">
        <v>4</v>
      </c>
      <c r="E912" t="s">
        <v>23</v>
      </c>
      <c r="F912" t="s">
        <v>57</v>
      </c>
      <c r="G912" t="s">
        <v>14</v>
      </c>
    </row>
    <row r="913" spans="1:7" x14ac:dyDescent="0.25">
      <c r="A913" t="s">
        <v>165</v>
      </c>
      <c r="B913">
        <v>202</v>
      </c>
      <c r="C913">
        <v>89</v>
      </c>
      <c r="D913">
        <v>9</v>
      </c>
      <c r="E913" t="s">
        <v>23</v>
      </c>
      <c r="F913" t="s">
        <v>81</v>
      </c>
      <c r="G913" t="s">
        <v>14</v>
      </c>
    </row>
    <row r="914" spans="1:7" x14ac:dyDescent="0.25">
      <c r="A914" t="s">
        <v>165</v>
      </c>
      <c r="B914">
        <v>58</v>
      </c>
      <c r="C914">
        <v>17</v>
      </c>
      <c r="D914">
        <v>2</v>
      </c>
      <c r="E914" t="s">
        <v>23</v>
      </c>
      <c r="F914" t="s">
        <v>30</v>
      </c>
      <c r="G914" t="s">
        <v>10</v>
      </c>
    </row>
    <row r="915" spans="1:7" x14ac:dyDescent="0.25">
      <c r="A915" t="s">
        <v>439</v>
      </c>
      <c r="B915">
        <v>57</v>
      </c>
      <c r="C915">
        <v>-28</v>
      </c>
      <c r="D915">
        <v>2</v>
      </c>
      <c r="E915" t="s">
        <v>23</v>
      </c>
      <c r="F915" t="s">
        <v>32</v>
      </c>
      <c r="G915" t="s">
        <v>10</v>
      </c>
    </row>
    <row r="916" spans="1:7" x14ac:dyDescent="0.25">
      <c r="A916" t="s">
        <v>134</v>
      </c>
      <c r="B916">
        <v>204</v>
      </c>
      <c r="C916">
        <v>-94</v>
      </c>
      <c r="D916">
        <v>4</v>
      </c>
      <c r="E916" t="s">
        <v>23</v>
      </c>
      <c r="F916" t="s">
        <v>30</v>
      </c>
      <c r="G916" t="s">
        <v>14</v>
      </c>
    </row>
    <row r="917" spans="1:7" x14ac:dyDescent="0.25">
      <c r="A917" t="s">
        <v>440</v>
      </c>
      <c r="B917">
        <v>98</v>
      </c>
      <c r="C917">
        <v>-12</v>
      </c>
      <c r="D917">
        <v>2</v>
      </c>
      <c r="E917" t="s">
        <v>8</v>
      </c>
      <c r="F917" t="s">
        <v>9</v>
      </c>
      <c r="G917" t="s">
        <v>19</v>
      </c>
    </row>
    <row r="918" spans="1:7" x14ac:dyDescent="0.25">
      <c r="A918" t="s">
        <v>141</v>
      </c>
      <c r="B918">
        <v>22</v>
      </c>
      <c r="C918">
        <v>-12</v>
      </c>
      <c r="D918">
        <v>3</v>
      </c>
      <c r="E918" t="s">
        <v>23</v>
      </c>
      <c r="F918" t="s">
        <v>57</v>
      </c>
      <c r="G918" t="s">
        <v>10</v>
      </c>
    </row>
    <row r="919" spans="1:7" x14ac:dyDescent="0.25">
      <c r="A919" t="s">
        <v>113</v>
      </c>
      <c r="B919">
        <v>97</v>
      </c>
      <c r="C919">
        <v>17</v>
      </c>
      <c r="D919">
        <v>2</v>
      </c>
      <c r="E919" t="s">
        <v>23</v>
      </c>
      <c r="F919" t="s">
        <v>57</v>
      </c>
      <c r="G919" t="s">
        <v>19</v>
      </c>
    </row>
    <row r="920" spans="1:7" x14ac:dyDescent="0.25">
      <c r="A920" t="s">
        <v>332</v>
      </c>
      <c r="B920">
        <v>57</v>
      </c>
      <c r="C920">
        <v>24</v>
      </c>
      <c r="D920">
        <v>5</v>
      </c>
      <c r="E920" t="s">
        <v>23</v>
      </c>
      <c r="F920" t="s">
        <v>63</v>
      </c>
      <c r="G920" t="s">
        <v>10</v>
      </c>
    </row>
    <row r="921" spans="1:7" x14ac:dyDescent="0.25">
      <c r="A921" t="s">
        <v>441</v>
      </c>
      <c r="B921">
        <v>97</v>
      </c>
      <c r="C921">
        <v>14</v>
      </c>
      <c r="D921">
        <v>2</v>
      </c>
      <c r="E921" t="s">
        <v>23</v>
      </c>
      <c r="F921" t="s">
        <v>81</v>
      </c>
      <c r="G921" t="s">
        <v>19</v>
      </c>
    </row>
    <row r="922" spans="1:7" x14ac:dyDescent="0.25">
      <c r="A922" t="s">
        <v>203</v>
      </c>
      <c r="B922">
        <v>97</v>
      </c>
      <c r="C922">
        <v>17</v>
      </c>
      <c r="D922">
        <v>2</v>
      </c>
      <c r="E922" t="s">
        <v>23</v>
      </c>
      <c r="F922" t="s">
        <v>57</v>
      </c>
      <c r="G922" t="s">
        <v>19</v>
      </c>
    </row>
    <row r="923" spans="1:7" x14ac:dyDescent="0.25">
      <c r="A923" t="s">
        <v>121</v>
      </c>
      <c r="B923">
        <v>96</v>
      </c>
      <c r="C923">
        <v>22</v>
      </c>
      <c r="D923">
        <v>5</v>
      </c>
      <c r="E923" t="s">
        <v>23</v>
      </c>
      <c r="F923" t="s">
        <v>57</v>
      </c>
      <c r="G923" t="s">
        <v>19</v>
      </c>
    </row>
    <row r="924" spans="1:7" x14ac:dyDescent="0.25">
      <c r="A924" t="s">
        <v>146</v>
      </c>
      <c r="B924">
        <v>94</v>
      </c>
      <c r="C924">
        <v>27</v>
      </c>
      <c r="D924">
        <v>2</v>
      </c>
      <c r="E924" t="s">
        <v>23</v>
      </c>
      <c r="F924" t="s">
        <v>142</v>
      </c>
      <c r="G924" t="s">
        <v>19</v>
      </c>
    </row>
    <row r="925" spans="1:7" x14ac:dyDescent="0.25">
      <c r="A925" t="s">
        <v>292</v>
      </c>
      <c r="B925">
        <v>26</v>
      </c>
      <c r="C925">
        <v>-17</v>
      </c>
      <c r="D925">
        <v>1</v>
      </c>
      <c r="E925" t="s">
        <v>23</v>
      </c>
      <c r="F925" t="s">
        <v>57</v>
      </c>
      <c r="G925" t="s">
        <v>10</v>
      </c>
    </row>
    <row r="926" spans="1:7" x14ac:dyDescent="0.25">
      <c r="A926" t="s">
        <v>442</v>
      </c>
      <c r="B926">
        <v>93</v>
      </c>
      <c r="C926">
        <v>44</v>
      </c>
      <c r="D926">
        <v>2</v>
      </c>
      <c r="E926" t="s">
        <v>23</v>
      </c>
      <c r="F926" t="s">
        <v>57</v>
      </c>
      <c r="G926" t="s">
        <v>19</v>
      </c>
    </row>
    <row r="927" spans="1:7" x14ac:dyDescent="0.25">
      <c r="A927" t="s">
        <v>54</v>
      </c>
      <c r="B927">
        <v>93</v>
      </c>
      <c r="C927">
        <v>-65</v>
      </c>
      <c r="D927">
        <v>4</v>
      </c>
      <c r="E927" t="s">
        <v>23</v>
      </c>
      <c r="F927" t="s">
        <v>57</v>
      </c>
      <c r="G927" t="s">
        <v>19</v>
      </c>
    </row>
    <row r="928" spans="1:7" x14ac:dyDescent="0.25">
      <c r="A928" t="s">
        <v>254</v>
      </c>
      <c r="B928">
        <v>92</v>
      </c>
      <c r="C928">
        <v>5</v>
      </c>
      <c r="D928">
        <v>6</v>
      </c>
      <c r="E928" t="s">
        <v>23</v>
      </c>
      <c r="F928" t="s">
        <v>30</v>
      </c>
      <c r="G928" t="s">
        <v>19</v>
      </c>
    </row>
    <row r="929" spans="1:7" x14ac:dyDescent="0.25">
      <c r="A929" t="s">
        <v>31</v>
      </c>
      <c r="B929">
        <v>57</v>
      </c>
      <c r="C929">
        <v>27</v>
      </c>
      <c r="D929">
        <v>2</v>
      </c>
      <c r="E929" t="s">
        <v>23</v>
      </c>
      <c r="F929" t="s">
        <v>81</v>
      </c>
      <c r="G929" t="s">
        <v>10</v>
      </c>
    </row>
    <row r="930" spans="1:7" x14ac:dyDescent="0.25">
      <c r="A930" t="s">
        <v>170</v>
      </c>
      <c r="B930">
        <v>57</v>
      </c>
      <c r="C930">
        <v>7</v>
      </c>
      <c r="D930">
        <v>3</v>
      </c>
      <c r="E930" t="s">
        <v>12</v>
      </c>
      <c r="F930" t="s">
        <v>131</v>
      </c>
      <c r="G930" t="s">
        <v>10</v>
      </c>
    </row>
    <row r="931" spans="1:7" x14ac:dyDescent="0.25">
      <c r="A931" t="s">
        <v>443</v>
      </c>
      <c r="B931">
        <v>57</v>
      </c>
      <c r="C931">
        <v>21</v>
      </c>
      <c r="D931">
        <v>4</v>
      </c>
      <c r="E931" t="s">
        <v>23</v>
      </c>
      <c r="F931" t="s">
        <v>63</v>
      </c>
      <c r="G931" t="s">
        <v>10</v>
      </c>
    </row>
    <row r="932" spans="1:7" x14ac:dyDescent="0.25">
      <c r="A932" t="s">
        <v>271</v>
      </c>
      <c r="B932">
        <v>128</v>
      </c>
      <c r="C932">
        <v>4</v>
      </c>
      <c r="D932">
        <v>3</v>
      </c>
      <c r="E932" t="s">
        <v>23</v>
      </c>
      <c r="F932" t="s">
        <v>26</v>
      </c>
      <c r="G932" t="s">
        <v>10</v>
      </c>
    </row>
    <row r="933" spans="1:7" x14ac:dyDescent="0.25">
      <c r="A933" t="s">
        <v>64</v>
      </c>
      <c r="B933">
        <v>89</v>
      </c>
      <c r="C933">
        <v>-4</v>
      </c>
      <c r="D933">
        <v>5</v>
      </c>
      <c r="E933" t="s">
        <v>23</v>
      </c>
      <c r="F933" t="s">
        <v>26</v>
      </c>
      <c r="G933" t="s">
        <v>19</v>
      </c>
    </row>
    <row r="934" spans="1:7" x14ac:dyDescent="0.25">
      <c r="A934" t="s">
        <v>164</v>
      </c>
      <c r="B934">
        <v>221</v>
      </c>
      <c r="C934">
        <v>26</v>
      </c>
      <c r="D934">
        <v>7</v>
      </c>
      <c r="E934" t="s">
        <v>12</v>
      </c>
      <c r="F934" t="s">
        <v>131</v>
      </c>
      <c r="G934" t="s">
        <v>10</v>
      </c>
    </row>
    <row r="935" spans="1:7" x14ac:dyDescent="0.25">
      <c r="A935" t="s">
        <v>272</v>
      </c>
      <c r="B935">
        <v>205</v>
      </c>
      <c r="C935">
        <v>-119</v>
      </c>
      <c r="D935">
        <v>3</v>
      </c>
      <c r="E935" t="s">
        <v>23</v>
      </c>
      <c r="F935" t="s">
        <v>26</v>
      </c>
      <c r="G935" t="s">
        <v>82</v>
      </c>
    </row>
    <row r="936" spans="1:7" x14ac:dyDescent="0.25">
      <c r="A936" t="s">
        <v>340</v>
      </c>
      <c r="B936">
        <v>191</v>
      </c>
      <c r="C936">
        <v>51</v>
      </c>
      <c r="D936">
        <v>5</v>
      </c>
      <c r="E936" t="s">
        <v>23</v>
      </c>
      <c r="F936" t="s">
        <v>142</v>
      </c>
      <c r="G936" t="s">
        <v>28</v>
      </c>
    </row>
    <row r="937" spans="1:7" x14ac:dyDescent="0.25">
      <c r="A937" t="s">
        <v>211</v>
      </c>
      <c r="B937">
        <v>206</v>
      </c>
      <c r="C937">
        <v>18</v>
      </c>
      <c r="D937">
        <v>4</v>
      </c>
      <c r="E937" t="s">
        <v>23</v>
      </c>
      <c r="F937" t="s">
        <v>30</v>
      </c>
      <c r="G937" t="s">
        <v>82</v>
      </c>
    </row>
    <row r="938" spans="1:7" x14ac:dyDescent="0.25">
      <c r="A938" t="s">
        <v>224</v>
      </c>
      <c r="B938">
        <v>56</v>
      </c>
      <c r="C938">
        <v>0</v>
      </c>
      <c r="D938">
        <v>4</v>
      </c>
      <c r="E938" t="s">
        <v>23</v>
      </c>
      <c r="F938" t="s">
        <v>30</v>
      </c>
      <c r="G938" t="s">
        <v>10</v>
      </c>
    </row>
    <row r="939" spans="1:7" x14ac:dyDescent="0.25">
      <c r="A939" t="s">
        <v>234</v>
      </c>
      <c r="B939">
        <v>88</v>
      </c>
      <c r="C939">
        <v>16</v>
      </c>
      <c r="D939">
        <v>4</v>
      </c>
      <c r="E939" t="s">
        <v>23</v>
      </c>
      <c r="F939" t="s">
        <v>57</v>
      </c>
      <c r="G939" t="s">
        <v>19</v>
      </c>
    </row>
    <row r="940" spans="1:7" x14ac:dyDescent="0.25">
      <c r="A940" t="s">
        <v>326</v>
      </c>
      <c r="B940">
        <v>224</v>
      </c>
      <c r="C940">
        <v>58</v>
      </c>
      <c r="D940">
        <v>3</v>
      </c>
      <c r="E940" t="s">
        <v>8</v>
      </c>
      <c r="F940" t="s">
        <v>21</v>
      </c>
      <c r="G940" t="s">
        <v>28</v>
      </c>
    </row>
    <row r="941" spans="1:7" x14ac:dyDescent="0.25">
      <c r="A941" t="s">
        <v>444</v>
      </c>
      <c r="B941">
        <v>193</v>
      </c>
      <c r="C941">
        <v>8</v>
      </c>
      <c r="D941">
        <v>4</v>
      </c>
      <c r="E941" t="s">
        <v>23</v>
      </c>
      <c r="F941" t="s">
        <v>81</v>
      </c>
      <c r="G941" t="s">
        <v>28</v>
      </c>
    </row>
    <row r="942" spans="1:7" x14ac:dyDescent="0.25">
      <c r="A942" t="s">
        <v>132</v>
      </c>
      <c r="B942">
        <v>87</v>
      </c>
      <c r="C942">
        <v>36</v>
      </c>
      <c r="D942">
        <v>5</v>
      </c>
      <c r="E942" t="s">
        <v>23</v>
      </c>
      <c r="F942" t="s">
        <v>57</v>
      </c>
      <c r="G942" t="s">
        <v>19</v>
      </c>
    </row>
    <row r="943" spans="1:7" x14ac:dyDescent="0.25">
      <c r="A943" t="s">
        <v>173</v>
      </c>
      <c r="B943">
        <v>189</v>
      </c>
      <c r="C943">
        <v>4</v>
      </c>
      <c r="D943">
        <v>1</v>
      </c>
      <c r="E943" t="s">
        <v>23</v>
      </c>
      <c r="F943" t="s">
        <v>26</v>
      </c>
      <c r="G943" t="s">
        <v>28</v>
      </c>
    </row>
    <row r="944" spans="1:7" x14ac:dyDescent="0.25">
      <c r="A944" t="s">
        <v>227</v>
      </c>
      <c r="B944">
        <v>55</v>
      </c>
      <c r="C944">
        <v>-33</v>
      </c>
      <c r="D944">
        <v>2</v>
      </c>
      <c r="E944" t="s">
        <v>12</v>
      </c>
      <c r="F944" t="s">
        <v>13</v>
      </c>
      <c r="G944" t="s">
        <v>10</v>
      </c>
    </row>
    <row r="945" spans="1:7" x14ac:dyDescent="0.25">
      <c r="A945" t="s">
        <v>445</v>
      </c>
      <c r="B945">
        <v>85</v>
      </c>
      <c r="C945">
        <v>-1</v>
      </c>
      <c r="D945">
        <v>3</v>
      </c>
      <c r="E945" t="s">
        <v>23</v>
      </c>
      <c r="F945" t="s">
        <v>26</v>
      </c>
      <c r="G945" t="s">
        <v>19</v>
      </c>
    </row>
    <row r="946" spans="1:7" x14ac:dyDescent="0.25">
      <c r="A946" t="s">
        <v>157</v>
      </c>
      <c r="B946">
        <v>252</v>
      </c>
      <c r="C946">
        <v>56</v>
      </c>
      <c r="D946">
        <v>2</v>
      </c>
      <c r="E946" t="s">
        <v>8</v>
      </c>
      <c r="F946" t="s">
        <v>21</v>
      </c>
      <c r="G946" t="s">
        <v>28</v>
      </c>
    </row>
    <row r="947" spans="1:7" x14ac:dyDescent="0.25">
      <c r="A947" t="s">
        <v>171</v>
      </c>
      <c r="B947">
        <v>197</v>
      </c>
      <c r="C947">
        <v>73</v>
      </c>
      <c r="D947">
        <v>1</v>
      </c>
      <c r="E947" t="s">
        <v>12</v>
      </c>
      <c r="F947" t="s">
        <v>16</v>
      </c>
      <c r="G947" t="s">
        <v>10</v>
      </c>
    </row>
    <row r="948" spans="1:7" x14ac:dyDescent="0.25">
      <c r="A948" t="s">
        <v>33</v>
      </c>
      <c r="B948">
        <v>17</v>
      </c>
      <c r="C948">
        <v>-3</v>
      </c>
      <c r="D948">
        <v>2</v>
      </c>
      <c r="E948" t="s">
        <v>23</v>
      </c>
      <c r="F948" t="s">
        <v>57</v>
      </c>
      <c r="G948" t="s">
        <v>28</v>
      </c>
    </row>
    <row r="949" spans="1:7" x14ac:dyDescent="0.25">
      <c r="A949" t="s">
        <v>446</v>
      </c>
      <c r="B949">
        <v>100</v>
      </c>
      <c r="C949">
        <v>28</v>
      </c>
      <c r="D949">
        <v>2</v>
      </c>
      <c r="E949" t="s">
        <v>23</v>
      </c>
      <c r="F949" t="s">
        <v>30</v>
      </c>
      <c r="G949" t="s">
        <v>28</v>
      </c>
    </row>
    <row r="950" spans="1:7" x14ac:dyDescent="0.25">
      <c r="A950" t="s">
        <v>67</v>
      </c>
      <c r="B950">
        <v>80</v>
      </c>
      <c r="C950">
        <v>-19</v>
      </c>
      <c r="D950">
        <v>5</v>
      </c>
      <c r="E950" t="s">
        <v>23</v>
      </c>
      <c r="F950" t="s">
        <v>57</v>
      </c>
      <c r="G950" t="s">
        <v>28</v>
      </c>
    </row>
    <row r="951" spans="1:7" x14ac:dyDescent="0.25">
      <c r="A951" t="s">
        <v>169</v>
      </c>
      <c r="B951">
        <v>75</v>
      </c>
      <c r="C951">
        <v>29</v>
      </c>
      <c r="D951">
        <v>1</v>
      </c>
      <c r="E951" t="s">
        <v>23</v>
      </c>
      <c r="F951" t="s">
        <v>24</v>
      </c>
      <c r="G951" t="s">
        <v>28</v>
      </c>
    </row>
    <row r="952" spans="1:7" x14ac:dyDescent="0.25">
      <c r="A952" t="s">
        <v>67</v>
      </c>
      <c r="B952">
        <v>26</v>
      </c>
      <c r="C952">
        <v>4</v>
      </c>
      <c r="D952">
        <v>2</v>
      </c>
      <c r="E952" t="s">
        <v>23</v>
      </c>
      <c r="F952" t="s">
        <v>26</v>
      </c>
      <c r="G952" t="s">
        <v>28</v>
      </c>
    </row>
    <row r="953" spans="1:7" x14ac:dyDescent="0.25">
      <c r="A953" t="s">
        <v>447</v>
      </c>
      <c r="B953">
        <v>55</v>
      </c>
      <c r="C953">
        <v>12</v>
      </c>
      <c r="D953">
        <v>5</v>
      </c>
      <c r="E953" t="s">
        <v>23</v>
      </c>
      <c r="F953" t="s">
        <v>43</v>
      </c>
      <c r="G953" t="s">
        <v>10</v>
      </c>
    </row>
    <row r="954" spans="1:7" x14ac:dyDescent="0.25">
      <c r="A954" t="s">
        <v>324</v>
      </c>
      <c r="B954">
        <v>157</v>
      </c>
      <c r="C954">
        <v>5</v>
      </c>
      <c r="D954">
        <v>9</v>
      </c>
      <c r="E954" t="s">
        <v>23</v>
      </c>
      <c r="F954" t="s">
        <v>26</v>
      </c>
      <c r="G954" t="s">
        <v>28</v>
      </c>
    </row>
    <row r="955" spans="1:7" x14ac:dyDescent="0.25">
      <c r="A955" t="s">
        <v>119</v>
      </c>
      <c r="B955">
        <v>200</v>
      </c>
      <c r="C955">
        <v>-60</v>
      </c>
      <c r="D955">
        <v>4</v>
      </c>
      <c r="E955" t="s">
        <v>12</v>
      </c>
      <c r="F955" t="s">
        <v>16</v>
      </c>
      <c r="G955" t="s">
        <v>28</v>
      </c>
    </row>
    <row r="956" spans="1:7" x14ac:dyDescent="0.25">
      <c r="A956" t="s">
        <v>223</v>
      </c>
      <c r="B956">
        <v>230</v>
      </c>
      <c r="C956">
        <v>5</v>
      </c>
      <c r="D956">
        <v>2</v>
      </c>
      <c r="E956" t="s">
        <v>23</v>
      </c>
      <c r="F956" t="s">
        <v>26</v>
      </c>
      <c r="G956" t="s">
        <v>28</v>
      </c>
    </row>
    <row r="957" spans="1:7" x14ac:dyDescent="0.25">
      <c r="A957" t="s">
        <v>211</v>
      </c>
      <c r="B957">
        <v>213</v>
      </c>
      <c r="C957">
        <v>-145</v>
      </c>
      <c r="D957">
        <v>3</v>
      </c>
      <c r="E957" t="s">
        <v>12</v>
      </c>
      <c r="F957" t="s">
        <v>16</v>
      </c>
      <c r="G957" t="s">
        <v>82</v>
      </c>
    </row>
    <row r="958" spans="1:7" x14ac:dyDescent="0.25">
      <c r="A958" t="s">
        <v>193</v>
      </c>
      <c r="B958">
        <v>55</v>
      </c>
      <c r="C958">
        <v>4</v>
      </c>
      <c r="D958">
        <v>2</v>
      </c>
      <c r="E958" t="s">
        <v>23</v>
      </c>
      <c r="F958" t="s">
        <v>57</v>
      </c>
      <c r="G958" t="s">
        <v>10</v>
      </c>
    </row>
    <row r="959" spans="1:7" x14ac:dyDescent="0.25">
      <c r="A959" t="s">
        <v>448</v>
      </c>
      <c r="B959">
        <v>220</v>
      </c>
      <c r="C959">
        <v>-19</v>
      </c>
      <c r="D959">
        <v>2</v>
      </c>
      <c r="E959" t="s">
        <v>23</v>
      </c>
      <c r="F959" t="s">
        <v>26</v>
      </c>
      <c r="G959" t="s">
        <v>82</v>
      </c>
    </row>
    <row r="960" spans="1:7" x14ac:dyDescent="0.25">
      <c r="A960" t="s">
        <v>74</v>
      </c>
      <c r="B960">
        <v>150</v>
      </c>
      <c r="C960">
        <v>32</v>
      </c>
      <c r="D960">
        <v>3</v>
      </c>
      <c r="E960" t="s">
        <v>23</v>
      </c>
      <c r="F960" t="s">
        <v>30</v>
      </c>
      <c r="G960" t="s">
        <v>10</v>
      </c>
    </row>
    <row r="961" spans="1:7" x14ac:dyDescent="0.25">
      <c r="A961" t="s">
        <v>136</v>
      </c>
      <c r="B961">
        <v>203</v>
      </c>
      <c r="C961">
        <v>84</v>
      </c>
      <c r="D961">
        <v>2</v>
      </c>
      <c r="E961" t="s">
        <v>8</v>
      </c>
      <c r="F961" t="s">
        <v>18</v>
      </c>
      <c r="G961" t="s">
        <v>28</v>
      </c>
    </row>
    <row r="962" spans="1:7" x14ac:dyDescent="0.25">
      <c r="A962" t="s">
        <v>167</v>
      </c>
      <c r="B962">
        <v>93</v>
      </c>
      <c r="C962">
        <v>31</v>
      </c>
      <c r="D962">
        <v>3</v>
      </c>
      <c r="E962" t="s">
        <v>8</v>
      </c>
      <c r="F962" t="s">
        <v>73</v>
      </c>
      <c r="G962" t="s">
        <v>28</v>
      </c>
    </row>
    <row r="963" spans="1:7" x14ac:dyDescent="0.25">
      <c r="A963" t="s">
        <v>449</v>
      </c>
      <c r="B963">
        <v>290</v>
      </c>
      <c r="C963">
        <v>35</v>
      </c>
      <c r="D963">
        <v>6</v>
      </c>
      <c r="E963" t="s">
        <v>23</v>
      </c>
      <c r="F963" t="s">
        <v>30</v>
      </c>
      <c r="G963" t="s">
        <v>10</v>
      </c>
    </row>
    <row r="964" spans="1:7" x14ac:dyDescent="0.25">
      <c r="A964" t="s">
        <v>269</v>
      </c>
      <c r="B964">
        <v>48</v>
      </c>
      <c r="C964">
        <v>6</v>
      </c>
      <c r="D964">
        <v>1</v>
      </c>
      <c r="E964" t="s">
        <v>23</v>
      </c>
      <c r="F964" t="s">
        <v>26</v>
      </c>
      <c r="G964" t="s">
        <v>10</v>
      </c>
    </row>
    <row r="965" spans="1:7" x14ac:dyDescent="0.25">
      <c r="A965" t="s">
        <v>254</v>
      </c>
      <c r="B965">
        <v>221</v>
      </c>
      <c r="C965">
        <v>35</v>
      </c>
      <c r="D965">
        <v>4</v>
      </c>
      <c r="E965" t="s">
        <v>8</v>
      </c>
      <c r="F965" t="s">
        <v>73</v>
      </c>
      <c r="G965" t="s">
        <v>82</v>
      </c>
    </row>
    <row r="966" spans="1:7" x14ac:dyDescent="0.25">
      <c r="A966" t="s">
        <v>450</v>
      </c>
      <c r="B966">
        <v>55</v>
      </c>
      <c r="C966">
        <v>18</v>
      </c>
      <c r="D966">
        <v>2</v>
      </c>
      <c r="E966" t="s">
        <v>23</v>
      </c>
      <c r="F966" t="s">
        <v>32</v>
      </c>
      <c r="G966" t="s">
        <v>10</v>
      </c>
    </row>
    <row r="967" spans="1:7" x14ac:dyDescent="0.25">
      <c r="A967" t="s">
        <v>117</v>
      </c>
      <c r="B967">
        <v>227</v>
      </c>
      <c r="C967">
        <v>102</v>
      </c>
      <c r="D967">
        <v>8</v>
      </c>
      <c r="E967" t="s">
        <v>8</v>
      </c>
      <c r="F967" t="s">
        <v>73</v>
      </c>
      <c r="G967" t="s">
        <v>82</v>
      </c>
    </row>
    <row r="968" spans="1:7" x14ac:dyDescent="0.25">
      <c r="A968" t="s">
        <v>451</v>
      </c>
      <c r="B968">
        <v>55</v>
      </c>
      <c r="C968">
        <v>-39</v>
      </c>
      <c r="D968">
        <v>4</v>
      </c>
      <c r="E968" t="s">
        <v>23</v>
      </c>
      <c r="F968" t="s">
        <v>57</v>
      </c>
      <c r="G968" t="s">
        <v>10</v>
      </c>
    </row>
    <row r="969" spans="1:7" x14ac:dyDescent="0.25">
      <c r="A969" t="s">
        <v>449</v>
      </c>
      <c r="B969">
        <v>207</v>
      </c>
      <c r="C969">
        <v>33</v>
      </c>
      <c r="D969">
        <v>2</v>
      </c>
      <c r="E969" t="s">
        <v>8</v>
      </c>
      <c r="F969" t="s">
        <v>73</v>
      </c>
      <c r="G969" t="s">
        <v>28</v>
      </c>
    </row>
    <row r="970" spans="1:7" x14ac:dyDescent="0.25">
      <c r="A970" t="s">
        <v>80</v>
      </c>
      <c r="B970">
        <v>64</v>
      </c>
      <c r="C970">
        <v>6</v>
      </c>
      <c r="D970">
        <v>4</v>
      </c>
      <c r="E970" t="s">
        <v>23</v>
      </c>
      <c r="F970" t="s">
        <v>26</v>
      </c>
      <c r="G970" t="s">
        <v>10</v>
      </c>
    </row>
    <row r="971" spans="1:7" x14ac:dyDescent="0.25">
      <c r="A971" t="s">
        <v>235</v>
      </c>
      <c r="B971">
        <v>89</v>
      </c>
      <c r="C971">
        <v>6</v>
      </c>
      <c r="D971">
        <v>5</v>
      </c>
      <c r="E971" t="s">
        <v>23</v>
      </c>
      <c r="F971" t="s">
        <v>26</v>
      </c>
      <c r="G971" t="s">
        <v>10</v>
      </c>
    </row>
    <row r="972" spans="1:7" x14ac:dyDescent="0.25">
      <c r="A972" t="s">
        <v>46</v>
      </c>
      <c r="B972">
        <v>54</v>
      </c>
      <c r="C972">
        <v>27</v>
      </c>
      <c r="D972">
        <v>2</v>
      </c>
      <c r="E972" t="s">
        <v>23</v>
      </c>
      <c r="F972" t="s">
        <v>57</v>
      </c>
      <c r="G972" t="s">
        <v>10</v>
      </c>
    </row>
    <row r="973" spans="1:7" x14ac:dyDescent="0.25">
      <c r="A973" t="s">
        <v>140</v>
      </c>
      <c r="B973">
        <v>84</v>
      </c>
      <c r="C973">
        <v>41</v>
      </c>
      <c r="D973">
        <v>3</v>
      </c>
      <c r="E973" t="s">
        <v>23</v>
      </c>
      <c r="F973" t="s">
        <v>81</v>
      </c>
      <c r="G973" t="s">
        <v>19</v>
      </c>
    </row>
    <row r="974" spans="1:7" x14ac:dyDescent="0.25">
      <c r="A974" t="s">
        <v>289</v>
      </c>
      <c r="B974">
        <v>209</v>
      </c>
      <c r="C974">
        <v>-21</v>
      </c>
      <c r="D974">
        <v>2</v>
      </c>
      <c r="E974" t="s">
        <v>8</v>
      </c>
      <c r="F974" t="s">
        <v>9</v>
      </c>
      <c r="G974" t="s">
        <v>28</v>
      </c>
    </row>
    <row r="975" spans="1:7" x14ac:dyDescent="0.25">
      <c r="A975" t="s">
        <v>200</v>
      </c>
      <c r="B975">
        <v>79</v>
      </c>
      <c r="C975">
        <v>33</v>
      </c>
      <c r="D975">
        <v>4</v>
      </c>
      <c r="E975" t="s">
        <v>23</v>
      </c>
      <c r="F975" t="s">
        <v>57</v>
      </c>
      <c r="G975" t="s">
        <v>28</v>
      </c>
    </row>
    <row r="976" spans="1:7" x14ac:dyDescent="0.25">
      <c r="A976" t="s">
        <v>452</v>
      </c>
      <c r="B976">
        <v>54</v>
      </c>
      <c r="C976">
        <v>8</v>
      </c>
      <c r="D976">
        <v>4</v>
      </c>
      <c r="E976" t="s">
        <v>23</v>
      </c>
      <c r="F976" t="s">
        <v>81</v>
      </c>
      <c r="G976" t="s">
        <v>10</v>
      </c>
    </row>
    <row r="977" spans="1:7" x14ac:dyDescent="0.25">
      <c r="A977" t="s">
        <v>94</v>
      </c>
      <c r="B977">
        <v>229</v>
      </c>
      <c r="C977">
        <v>59</v>
      </c>
      <c r="D977">
        <v>9</v>
      </c>
      <c r="E977" t="s">
        <v>23</v>
      </c>
      <c r="F977" t="s">
        <v>26</v>
      </c>
      <c r="G977" t="s">
        <v>82</v>
      </c>
    </row>
    <row r="978" spans="1:7" x14ac:dyDescent="0.25">
      <c r="A978" t="s">
        <v>378</v>
      </c>
      <c r="B978">
        <v>158</v>
      </c>
      <c r="C978">
        <v>38</v>
      </c>
      <c r="D978">
        <v>3</v>
      </c>
      <c r="E978" t="s">
        <v>23</v>
      </c>
      <c r="F978" t="s">
        <v>30</v>
      </c>
      <c r="G978" t="s">
        <v>28</v>
      </c>
    </row>
    <row r="979" spans="1:7" x14ac:dyDescent="0.25">
      <c r="A979" t="s">
        <v>179</v>
      </c>
      <c r="B979">
        <v>248</v>
      </c>
      <c r="C979">
        <v>105</v>
      </c>
      <c r="D979">
        <v>2</v>
      </c>
      <c r="E979" t="s">
        <v>8</v>
      </c>
      <c r="F979" t="s">
        <v>21</v>
      </c>
      <c r="G979" t="s">
        <v>82</v>
      </c>
    </row>
    <row r="980" spans="1:7" x14ac:dyDescent="0.25">
      <c r="A980" t="s">
        <v>41</v>
      </c>
      <c r="B980">
        <v>199</v>
      </c>
      <c r="C980">
        <v>6</v>
      </c>
      <c r="D980">
        <v>2</v>
      </c>
      <c r="E980" t="s">
        <v>23</v>
      </c>
      <c r="F980" t="s">
        <v>26</v>
      </c>
      <c r="G980" t="s">
        <v>28</v>
      </c>
    </row>
    <row r="981" spans="1:7" x14ac:dyDescent="0.25">
      <c r="A981" t="s">
        <v>35</v>
      </c>
      <c r="B981">
        <v>253</v>
      </c>
      <c r="C981">
        <v>-11</v>
      </c>
      <c r="D981">
        <v>1</v>
      </c>
      <c r="E981" t="s">
        <v>23</v>
      </c>
      <c r="F981" t="s">
        <v>24</v>
      </c>
      <c r="G981" t="s">
        <v>82</v>
      </c>
    </row>
    <row r="982" spans="1:7" x14ac:dyDescent="0.25">
      <c r="A982" t="s">
        <v>307</v>
      </c>
      <c r="B982">
        <v>257</v>
      </c>
      <c r="C982">
        <v>-252</v>
      </c>
      <c r="D982">
        <v>4</v>
      </c>
      <c r="E982" t="s">
        <v>23</v>
      </c>
      <c r="F982" t="s">
        <v>26</v>
      </c>
      <c r="G982" t="s">
        <v>82</v>
      </c>
    </row>
    <row r="983" spans="1:7" x14ac:dyDescent="0.25">
      <c r="A983" t="s">
        <v>453</v>
      </c>
      <c r="B983">
        <v>193</v>
      </c>
      <c r="C983">
        <v>33</v>
      </c>
      <c r="D983">
        <v>5</v>
      </c>
      <c r="E983" t="s">
        <v>8</v>
      </c>
      <c r="F983" t="s">
        <v>73</v>
      </c>
      <c r="G983" t="s">
        <v>10</v>
      </c>
    </row>
    <row r="984" spans="1:7" x14ac:dyDescent="0.25">
      <c r="A984" t="s">
        <v>454</v>
      </c>
      <c r="B984">
        <v>109</v>
      </c>
      <c r="C984">
        <v>35</v>
      </c>
      <c r="D984">
        <v>6</v>
      </c>
      <c r="E984" t="s">
        <v>23</v>
      </c>
      <c r="F984" t="s">
        <v>81</v>
      </c>
      <c r="G984" t="s">
        <v>10</v>
      </c>
    </row>
    <row r="985" spans="1:7" x14ac:dyDescent="0.25">
      <c r="A985" t="s">
        <v>241</v>
      </c>
      <c r="B985">
        <v>214</v>
      </c>
      <c r="C985">
        <v>30</v>
      </c>
      <c r="D985">
        <v>3</v>
      </c>
      <c r="E985" t="s">
        <v>8</v>
      </c>
      <c r="F985" t="s">
        <v>73</v>
      </c>
      <c r="G985" t="s">
        <v>10</v>
      </c>
    </row>
    <row r="986" spans="1:7" x14ac:dyDescent="0.25">
      <c r="A986" t="s">
        <v>301</v>
      </c>
      <c r="B986">
        <v>141</v>
      </c>
      <c r="C986">
        <v>7</v>
      </c>
      <c r="D986">
        <v>7</v>
      </c>
      <c r="E986" t="s">
        <v>23</v>
      </c>
      <c r="F986" t="s">
        <v>26</v>
      </c>
      <c r="G986" t="s">
        <v>10</v>
      </c>
    </row>
    <row r="987" spans="1:7" x14ac:dyDescent="0.25">
      <c r="A987" t="s">
        <v>164</v>
      </c>
      <c r="B987">
        <v>201</v>
      </c>
      <c r="C987">
        <v>32</v>
      </c>
      <c r="D987">
        <v>4</v>
      </c>
      <c r="E987" t="s">
        <v>12</v>
      </c>
      <c r="F987" t="s">
        <v>131</v>
      </c>
      <c r="G987" t="s">
        <v>28</v>
      </c>
    </row>
    <row r="988" spans="1:7" x14ac:dyDescent="0.25">
      <c r="A988" t="s">
        <v>169</v>
      </c>
      <c r="B988">
        <v>54</v>
      </c>
      <c r="C988">
        <v>12</v>
      </c>
      <c r="D988">
        <v>4</v>
      </c>
      <c r="E988" t="s">
        <v>23</v>
      </c>
      <c r="F988" t="s">
        <v>142</v>
      </c>
      <c r="G988" t="s">
        <v>10</v>
      </c>
    </row>
    <row r="989" spans="1:7" x14ac:dyDescent="0.25">
      <c r="A989" t="s">
        <v>34</v>
      </c>
      <c r="B989">
        <v>83</v>
      </c>
      <c r="C989">
        <v>6</v>
      </c>
      <c r="D989">
        <v>6</v>
      </c>
      <c r="E989" t="s">
        <v>23</v>
      </c>
      <c r="F989" t="s">
        <v>142</v>
      </c>
      <c r="G989" t="s">
        <v>14</v>
      </c>
    </row>
    <row r="990" spans="1:7" x14ac:dyDescent="0.25">
      <c r="A990" t="s">
        <v>205</v>
      </c>
      <c r="B990">
        <v>54</v>
      </c>
      <c r="C990">
        <v>-3</v>
      </c>
      <c r="D990">
        <v>3</v>
      </c>
      <c r="E990" t="s">
        <v>23</v>
      </c>
      <c r="F990" t="s">
        <v>26</v>
      </c>
      <c r="G990" t="s">
        <v>10</v>
      </c>
    </row>
    <row r="991" spans="1:7" x14ac:dyDescent="0.25">
      <c r="A991" t="s">
        <v>115</v>
      </c>
      <c r="B991">
        <v>53</v>
      </c>
      <c r="C991">
        <v>5</v>
      </c>
      <c r="D991">
        <v>3</v>
      </c>
      <c r="E991" t="s">
        <v>23</v>
      </c>
      <c r="F991" t="s">
        <v>81</v>
      </c>
      <c r="G991" t="s">
        <v>10</v>
      </c>
    </row>
    <row r="992" spans="1:7" x14ac:dyDescent="0.25">
      <c r="A992" t="s">
        <v>246</v>
      </c>
      <c r="B992">
        <v>258</v>
      </c>
      <c r="C992">
        <v>-27</v>
      </c>
      <c r="D992">
        <v>2</v>
      </c>
      <c r="E992" t="s">
        <v>8</v>
      </c>
      <c r="F992" t="s">
        <v>21</v>
      </c>
      <c r="G992" t="s">
        <v>82</v>
      </c>
    </row>
    <row r="993" spans="1:7" x14ac:dyDescent="0.25">
      <c r="A993" t="s">
        <v>455</v>
      </c>
      <c r="B993">
        <v>199</v>
      </c>
      <c r="C993">
        <v>8</v>
      </c>
      <c r="D993">
        <v>2</v>
      </c>
      <c r="E993" t="s">
        <v>23</v>
      </c>
      <c r="F993" t="s">
        <v>26</v>
      </c>
      <c r="G993" t="s">
        <v>10</v>
      </c>
    </row>
    <row r="994" spans="1:7" x14ac:dyDescent="0.25">
      <c r="A994" t="s">
        <v>300</v>
      </c>
      <c r="B994">
        <v>82</v>
      </c>
      <c r="C994">
        <v>-27</v>
      </c>
      <c r="D994">
        <v>3</v>
      </c>
      <c r="E994" t="s">
        <v>23</v>
      </c>
      <c r="F994" t="s">
        <v>32</v>
      </c>
      <c r="G994" t="s">
        <v>14</v>
      </c>
    </row>
    <row r="995" spans="1:7" x14ac:dyDescent="0.25">
      <c r="A995" t="s">
        <v>273</v>
      </c>
      <c r="B995">
        <v>139</v>
      </c>
      <c r="C995">
        <v>36</v>
      </c>
      <c r="D995">
        <v>3</v>
      </c>
      <c r="E995" t="s">
        <v>23</v>
      </c>
      <c r="F995" t="s">
        <v>57</v>
      </c>
      <c r="G995" t="s">
        <v>10</v>
      </c>
    </row>
    <row r="996" spans="1:7" x14ac:dyDescent="0.25">
      <c r="A996" t="s">
        <v>104</v>
      </c>
      <c r="B996">
        <v>53</v>
      </c>
      <c r="C996">
        <v>15</v>
      </c>
      <c r="D996">
        <v>2</v>
      </c>
      <c r="E996" t="s">
        <v>23</v>
      </c>
      <c r="F996" t="s">
        <v>57</v>
      </c>
      <c r="G996" t="s">
        <v>10</v>
      </c>
    </row>
    <row r="997" spans="1:7" x14ac:dyDescent="0.25">
      <c r="A997" t="s">
        <v>336</v>
      </c>
      <c r="B997">
        <v>53</v>
      </c>
      <c r="C997">
        <v>1</v>
      </c>
      <c r="D997">
        <v>4</v>
      </c>
      <c r="E997" t="s">
        <v>23</v>
      </c>
      <c r="F997" t="s">
        <v>57</v>
      </c>
      <c r="G997" t="s">
        <v>10</v>
      </c>
    </row>
    <row r="998" spans="1:7" x14ac:dyDescent="0.25">
      <c r="A998" t="s">
        <v>456</v>
      </c>
      <c r="B998">
        <v>101</v>
      </c>
      <c r="C998">
        <v>38</v>
      </c>
      <c r="D998">
        <v>2</v>
      </c>
      <c r="E998" t="s">
        <v>12</v>
      </c>
      <c r="F998" t="s">
        <v>131</v>
      </c>
      <c r="G998" t="s">
        <v>10</v>
      </c>
    </row>
    <row r="999" spans="1:7" x14ac:dyDescent="0.25">
      <c r="A999" t="s">
        <v>54</v>
      </c>
      <c r="B999">
        <v>262</v>
      </c>
      <c r="C999">
        <v>215</v>
      </c>
      <c r="D999">
        <v>2</v>
      </c>
      <c r="E999" t="s">
        <v>8</v>
      </c>
      <c r="F999" t="s">
        <v>18</v>
      </c>
      <c r="G999" t="s">
        <v>82</v>
      </c>
    </row>
    <row r="1000" spans="1:7" x14ac:dyDescent="0.25">
      <c r="A1000" t="s">
        <v>112</v>
      </c>
      <c r="B1000">
        <v>82</v>
      </c>
      <c r="C1000">
        <v>-39</v>
      </c>
      <c r="D1000">
        <v>5</v>
      </c>
      <c r="E1000" t="s">
        <v>23</v>
      </c>
      <c r="F1000" t="s">
        <v>81</v>
      </c>
      <c r="G1000" t="s">
        <v>14</v>
      </c>
    </row>
    <row r="1001" spans="1:7" x14ac:dyDescent="0.25">
      <c r="A1001" t="s">
        <v>359</v>
      </c>
      <c r="B1001">
        <v>154</v>
      </c>
      <c r="C1001">
        <v>39</v>
      </c>
      <c r="D1001">
        <v>3</v>
      </c>
      <c r="E1001" t="s">
        <v>23</v>
      </c>
      <c r="F1001" t="s">
        <v>30</v>
      </c>
      <c r="G1001" t="s">
        <v>10</v>
      </c>
    </row>
    <row r="1002" spans="1:7" x14ac:dyDescent="0.25">
      <c r="A1002" t="s">
        <v>457</v>
      </c>
      <c r="B1002">
        <v>52</v>
      </c>
      <c r="C1002">
        <v>18</v>
      </c>
      <c r="D1002">
        <v>2</v>
      </c>
      <c r="E1002" t="s">
        <v>23</v>
      </c>
      <c r="F1002" t="s">
        <v>57</v>
      </c>
      <c r="G1002" t="s">
        <v>10</v>
      </c>
    </row>
    <row r="1003" spans="1:7" x14ac:dyDescent="0.25">
      <c r="A1003" t="s">
        <v>385</v>
      </c>
      <c r="B1003">
        <v>1599</v>
      </c>
      <c r="C1003">
        <v>37</v>
      </c>
      <c r="D1003">
        <v>6</v>
      </c>
      <c r="E1003" t="s">
        <v>8</v>
      </c>
      <c r="F1003" t="s">
        <v>9</v>
      </c>
      <c r="G1003" t="s">
        <v>28</v>
      </c>
    </row>
    <row r="1004" spans="1:7" x14ac:dyDescent="0.25">
      <c r="A1004" t="s">
        <v>255</v>
      </c>
      <c r="B1004">
        <v>338</v>
      </c>
      <c r="C1004">
        <v>41</v>
      </c>
      <c r="D1004">
        <v>7</v>
      </c>
      <c r="E1004" t="s">
        <v>23</v>
      </c>
      <c r="F1004" t="s">
        <v>30</v>
      </c>
      <c r="G1004" t="s">
        <v>28</v>
      </c>
    </row>
    <row r="1005" spans="1:7" x14ac:dyDescent="0.25">
      <c r="A1005" t="s">
        <v>292</v>
      </c>
      <c r="B1005">
        <v>51</v>
      </c>
      <c r="C1005">
        <v>-49</v>
      </c>
      <c r="D1005">
        <v>2</v>
      </c>
      <c r="E1005" t="s">
        <v>8</v>
      </c>
      <c r="F1005" t="s">
        <v>9</v>
      </c>
      <c r="G1005" t="s">
        <v>10</v>
      </c>
    </row>
    <row r="1006" spans="1:7" x14ac:dyDescent="0.25">
      <c r="A1006" t="s">
        <v>290</v>
      </c>
      <c r="B1006">
        <v>224</v>
      </c>
      <c r="C1006">
        <v>-81</v>
      </c>
      <c r="D1006">
        <v>3</v>
      </c>
      <c r="E1006" t="s">
        <v>12</v>
      </c>
      <c r="F1006" t="s">
        <v>13</v>
      </c>
      <c r="G1006" t="s">
        <v>10</v>
      </c>
    </row>
    <row r="1007" spans="1:7" x14ac:dyDescent="0.25">
      <c r="A1007" t="s">
        <v>458</v>
      </c>
      <c r="B1007">
        <v>207</v>
      </c>
      <c r="C1007">
        <v>37</v>
      </c>
      <c r="D1007">
        <v>4</v>
      </c>
      <c r="E1007" t="s">
        <v>23</v>
      </c>
      <c r="F1007" t="s">
        <v>30</v>
      </c>
      <c r="G1007" t="s">
        <v>10</v>
      </c>
    </row>
    <row r="1008" spans="1:7" x14ac:dyDescent="0.25">
      <c r="A1008" t="s">
        <v>459</v>
      </c>
      <c r="B1008">
        <v>51</v>
      </c>
      <c r="C1008">
        <v>14</v>
      </c>
      <c r="D1008">
        <v>2</v>
      </c>
      <c r="E1008" t="s">
        <v>23</v>
      </c>
      <c r="F1008" t="s">
        <v>57</v>
      </c>
      <c r="G1008" t="s">
        <v>10</v>
      </c>
    </row>
    <row r="1009" spans="1:7" x14ac:dyDescent="0.25">
      <c r="A1009" t="s">
        <v>128</v>
      </c>
      <c r="B1009">
        <v>82</v>
      </c>
      <c r="C1009">
        <v>8</v>
      </c>
      <c r="D1009">
        <v>3</v>
      </c>
      <c r="E1009" t="s">
        <v>8</v>
      </c>
      <c r="F1009" t="s">
        <v>73</v>
      </c>
      <c r="G1009" t="s">
        <v>14</v>
      </c>
    </row>
    <row r="1010" spans="1:7" x14ac:dyDescent="0.25">
      <c r="A1010" t="s">
        <v>137</v>
      </c>
      <c r="B1010">
        <v>50</v>
      </c>
      <c r="C1010">
        <v>-17</v>
      </c>
      <c r="D1010">
        <v>2</v>
      </c>
      <c r="E1010" t="s">
        <v>23</v>
      </c>
      <c r="F1010" t="s">
        <v>57</v>
      </c>
      <c r="G1010" t="s">
        <v>10</v>
      </c>
    </row>
    <row r="1011" spans="1:7" x14ac:dyDescent="0.25">
      <c r="A1011" t="s">
        <v>37</v>
      </c>
      <c r="B1011">
        <v>263</v>
      </c>
      <c r="C1011">
        <v>-31</v>
      </c>
      <c r="D1011">
        <v>9</v>
      </c>
      <c r="E1011" t="s">
        <v>8</v>
      </c>
      <c r="F1011" t="s">
        <v>9</v>
      </c>
      <c r="G1011" t="s">
        <v>82</v>
      </c>
    </row>
    <row r="1012" spans="1:7" x14ac:dyDescent="0.25">
      <c r="A1012" t="s">
        <v>241</v>
      </c>
      <c r="B1012">
        <v>50</v>
      </c>
      <c r="C1012">
        <v>7</v>
      </c>
      <c r="D1012">
        <v>6</v>
      </c>
      <c r="E1012" t="s">
        <v>23</v>
      </c>
      <c r="F1012" t="s">
        <v>43</v>
      </c>
      <c r="G1012" t="s">
        <v>10</v>
      </c>
    </row>
    <row r="1013" spans="1:7" x14ac:dyDescent="0.25">
      <c r="A1013" t="s">
        <v>400</v>
      </c>
      <c r="B1013">
        <v>245</v>
      </c>
      <c r="C1013">
        <v>-3</v>
      </c>
      <c r="D1013">
        <v>4</v>
      </c>
      <c r="E1013" t="s">
        <v>8</v>
      </c>
      <c r="F1013" t="s">
        <v>21</v>
      </c>
      <c r="G1013" t="s">
        <v>28</v>
      </c>
    </row>
    <row r="1014" spans="1:7" x14ac:dyDescent="0.25">
      <c r="A1014" t="s">
        <v>157</v>
      </c>
      <c r="B1014">
        <v>82</v>
      </c>
      <c r="C1014">
        <v>24</v>
      </c>
      <c r="D1014">
        <v>6</v>
      </c>
      <c r="E1014" t="s">
        <v>23</v>
      </c>
      <c r="F1014" t="s">
        <v>30</v>
      </c>
      <c r="G1014" t="s">
        <v>14</v>
      </c>
    </row>
    <row r="1015" spans="1:7" x14ac:dyDescent="0.25">
      <c r="A1015" t="s">
        <v>144</v>
      </c>
      <c r="B1015">
        <v>229</v>
      </c>
      <c r="C1015">
        <v>-41</v>
      </c>
      <c r="D1015">
        <v>8</v>
      </c>
      <c r="E1015" t="s">
        <v>8</v>
      </c>
      <c r="F1015" t="s">
        <v>73</v>
      </c>
      <c r="G1015" t="s">
        <v>10</v>
      </c>
    </row>
    <row r="1016" spans="1:7" x14ac:dyDescent="0.25">
      <c r="A1016" t="s">
        <v>179</v>
      </c>
      <c r="B1016">
        <v>50</v>
      </c>
      <c r="C1016">
        <v>14</v>
      </c>
      <c r="D1016">
        <v>1</v>
      </c>
      <c r="E1016" t="s">
        <v>8</v>
      </c>
      <c r="F1016" t="s">
        <v>9</v>
      </c>
      <c r="G1016" t="s">
        <v>10</v>
      </c>
    </row>
    <row r="1017" spans="1:7" x14ac:dyDescent="0.25">
      <c r="A1017" t="s">
        <v>211</v>
      </c>
      <c r="B1017">
        <v>220</v>
      </c>
      <c r="C1017">
        <v>40</v>
      </c>
      <c r="D1017">
        <v>2</v>
      </c>
      <c r="E1017" t="s">
        <v>8</v>
      </c>
      <c r="F1017" t="s">
        <v>73</v>
      </c>
      <c r="G1017" t="s">
        <v>10</v>
      </c>
    </row>
    <row r="1018" spans="1:7" x14ac:dyDescent="0.25">
      <c r="A1018" t="s">
        <v>29</v>
      </c>
      <c r="B1018">
        <v>263</v>
      </c>
      <c r="C1018">
        <v>-63</v>
      </c>
      <c r="D1018">
        <v>2</v>
      </c>
      <c r="E1018" t="s">
        <v>8</v>
      </c>
      <c r="F1018" t="s">
        <v>9</v>
      </c>
      <c r="G1018" t="s">
        <v>82</v>
      </c>
    </row>
    <row r="1019" spans="1:7" x14ac:dyDescent="0.25">
      <c r="A1019" t="s">
        <v>17</v>
      </c>
      <c r="B1019">
        <v>81</v>
      </c>
      <c r="C1019">
        <v>-41</v>
      </c>
      <c r="D1019">
        <v>5</v>
      </c>
      <c r="E1019" t="s">
        <v>23</v>
      </c>
      <c r="F1019" t="s">
        <v>63</v>
      </c>
      <c r="G1019" t="s">
        <v>14</v>
      </c>
    </row>
    <row r="1020" spans="1:7" x14ac:dyDescent="0.25">
      <c r="A1020" t="s">
        <v>460</v>
      </c>
      <c r="B1020">
        <v>50</v>
      </c>
      <c r="C1020">
        <v>-17</v>
      </c>
      <c r="D1020">
        <v>2</v>
      </c>
      <c r="E1020" t="s">
        <v>23</v>
      </c>
      <c r="F1020" t="s">
        <v>57</v>
      </c>
      <c r="G1020" t="s">
        <v>10</v>
      </c>
    </row>
    <row r="1021" spans="1:7" x14ac:dyDescent="0.25">
      <c r="A1021" t="s">
        <v>17</v>
      </c>
      <c r="B1021">
        <v>49</v>
      </c>
      <c r="C1021">
        <v>5</v>
      </c>
      <c r="D1021">
        <v>4</v>
      </c>
      <c r="E1021" t="s">
        <v>23</v>
      </c>
      <c r="F1021" t="s">
        <v>30</v>
      </c>
      <c r="G1021" t="s">
        <v>10</v>
      </c>
    </row>
    <row r="1022" spans="1:7" x14ac:dyDescent="0.25">
      <c r="A1022" t="s">
        <v>31</v>
      </c>
      <c r="B1022">
        <v>237</v>
      </c>
      <c r="C1022">
        <v>47</v>
      </c>
      <c r="D1022">
        <v>9</v>
      </c>
      <c r="E1022" t="s">
        <v>23</v>
      </c>
      <c r="F1022" t="s">
        <v>81</v>
      </c>
      <c r="G1022" t="s">
        <v>28</v>
      </c>
    </row>
    <row r="1023" spans="1:7" x14ac:dyDescent="0.25">
      <c r="A1023" t="s">
        <v>461</v>
      </c>
      <c r="B1023">
        <v>264</v>
      </c>
      <c r="C1023">
        <v>-30</v>
      </c>
      <c r="D1023">
        <v>3</v>
      </c>
      <c r="E1023" t="s">
        <v>12</v>
      </c>
      <c r="F1023" t="s">
        <v>131</v>
      </c>
      <c r="G1023" t="s">
        <v>82</v>
      </c>
    </row>
    <row r="1024" spans="1:7" x14ac:dyDescent="0.25">
      <c r="A1024" t="s">
        <v>119</v>
      </c>
      <c r="B1024">
        <v>49</v>
      </c>
      <c r="C1024">
        <v>3</v>
      </c>
      <c r="D1024">
        <v>1</v>
      </c>
      <c r="E1024" t="s">
        <v>23</v>
      </c>
      <c r="F1024" t="s">
        <v>142</v>
      </c>
      <c r="G1024" t="s">
        <v>10</v>
      </c>
    </row>
    <row r="1025" spans="1:7" x14ac:dyDescent="0.25">
      <c r="A1025" t="s">
        <v>307</v>
      </c>
      <c r="B1025">
        <v>63</v>
      </c>
      <c r="C1025">
        <v>-24</v>
      </c>
      <c r="D1025">
        <v>6</v>
      </c>
      <c r="E1025" t="s">
        <v>23</v>
      </c>
      <c r="F1025" t="s">
        <v>32</v>
      </c>
      <c r="G1025" t="s">
        <v>10</v>
      </c>
    </row>
    <row r="1026" spans="1:7" x14ac:dyDescent="0.25">
      <c r="A1026" t="s">
        <v>152</v>
      </c>
      <c r="B1026">
        <v>81</v>
      </c>
      <c r="C1026">
        <v>-51</v>
      </c>
      <c r="D1026">
        <v>7</v>
      </c>
      <c r="E1026" t="s">
        <v>23</v>
      </c>
      <c r="F1026" t="s">
        <v>57</v>
      </c>
      <c r="G1026" t="s">
        <v>14</v>
      </c>
    </row>
    <row r="1027" spans="1:7" x14ac:dyDescent="0.25">
      <c r="A1027" t="s">
        <v>162</v>
      </c>
      <c r="B1027">
        <v>264</v>
      </c>
      <c r="C1027">
        <v>71</v>
      </c>
      <c r="D1027">
        <v>10</v>
      </c>
      <c r="E1027" t="s">
        <v>12</v>
      </c>
      <c r="F1027" t="s">
        <v>131</v>
      </c>
      <c r="G1027" t="s">
        <v>82</v>
      </c>
    </row>
    <row r="1028" spans="1:7" x14ac:dyDescent="0.25">
      <c r="A1028" t="s">
        <v>328</v>
      </c>
      <c r="B1028">
        <v>48</v>
      </c>
      <c r="C1028">
        <v>11</v>
      </c>
      <c r="D1028">
        <v>2</v>
      </c>
      <c r="E1028" t="s">
        <v>23</v>
      </c>
      <c r="F1028" t="s">
        <v>142</v>
      </c>
      <c r="G1028" t="s">
        <v>10</v>
      </c>
    </row>
    <row r="1029" spans="1:7" x14ac:dyDescent="0.25">
      <c r="A1029" t="s">
        <v>321</v>
      </c>
      <c r="B1029">
        <v>48</v>
      </c>
      <c r="C1029">
        <v>15</v>
      </c>
      <c r="D1029">
        <v>1</v>
      </c>
      <c r="E1029" t="s">
        <v>23</v>
      </c>
      <c r="F1029" t="s">
        <v>30</v>
      </c>
      <c r="G1029" t="s">
        <v>10</v>
      </c>
    </row>
    <row r="1030" spans="1:7" x14ac:dyDescent="0.25">
      <c r="A1030" t="s">
        <v>135</v>
      </c>
      <c r="B1030">
        <v>245</v>
      </c>
      <c r="C1030">
        <v>-78</v>
      </c>
      <c r="D1030">
        <v>2</v>
      </c>
      <c r="E1030" t="s">
        <v>8</v>
      </c>
      <c r="F1030" t="s">
        <v>18</v>
      </c>
      <c r="G1030" t="s">
        <v>28</v>
      </c>
    </row>
    <row r="1031" spans="1:7" x14ac:dyDescent="0.25">
      <c r="A1031" t="s">
        <v>59</v>
      </c>
      <c r="B1031">
        <v>146</v>
      </c>
      <c r="C1031">
        <v>42</v>
      </c>
      <c r="D1031">
        <v>5</v>
      </c>
      <c r="E1031" t="s">
        <v>23</v>
      </c>
      <c r="F1031" t="s">
        <v>30</v>
      </c>
      <c r="G1031" t="s">
        <v>28</v>
      </c>
    </row>
    <row r="1032" spans="1:7" x14ac:dyDescent="0.25">
      <c r="A1032" t="s">
        <v>125</v>
      </c>
      <c r="B1032">
        <v>245</v>
      </c>
      <c r="C1032">
        <v>10</v>
      </c>
      <c r="D1032">
        <v>2</v>
      </c>
      <c r="E1032" t="s">
        <v>12</v>
      </c>
      <c r="F1032" t="s">
        <v>16</v>
      </c>
      <c r="G1032" t="s">
        <v>10</v>
      </c>
    </row>
    <row r="1033" spans="1:7" x14ac:dyDescent="0.25">
      <c r="A1033" t="s">
        <v>264</v>
      </c>
      <c r="B1033">
        <v>245</v>
      </c>
      <c r="C1033">
        <v>91</v>
      </c>
      <c r="D1033">
        <v>2</v>
      </c>
      <c r="E1033" t="s">
        <v>12</v>
      </c>
      <c r="F1033" t="s">
        <v>16</v>
      </c>
      <c r="G1033" t="s">
        <v>28</v>
      </c>
    </row>
    <row r="1034" spans="1:7" x14ac:dyDescent="0.25">
      <c r="A1034" t="s">
        <v>395</v>
      </c>
      <c r="B1034">
        <v>80</v>
      </c>
      <c r="C1034">
        <v>3</v>
      </c>
      <c r="D1034">
        <v>3</v>
      </c>
      <c r="E1034" t="s">
        <v>23</v>
      </c>
      <c r="F1034" t="s">
        <v>57</v>
      </c>
      <c r="G1034" t="s">
        <v>14</v>
      </c>
    </row>
    <row r="1035" spans="1:7" x14ac:dyDescent="0.25">
      <c r="A1035" t="s">
        <v>196</v>
      </c>
      <c r="B1035">
        <v>269</v>
      </c>
      <c r="C1035">
        <v>33</v>
      </c>
      <c r="D1035">
        <v>5</v>
      </c>
      <c r="E1035" t="s">
        <v>12</v>
      </c>
      <c r="F1035" t="s">
        <v>13</v>
      </c>
      <c r="G1035" t="s">
        <v>82</v>
      </c>
    </row>
    <row r="1036" spans="1:7" x14ac:dyDescent="0.25">
      <c r="A1036" t="s">
        <v>462</v>
      </c>
      <c r="B1036">
        <v>80</v>
      </c>
      <c r="C1036">
        <v>22</v>
      </c>
      <c r="D1036">
        <v>3</v>
      </c>
      <c r="E1036" t="s">
        <v>23</v>
      </c>
      <c r="F1036" t="s">
        <v>57</v>
      </c>
      <c r="G1036" t="s">
        <v>14</v>
      </c>
    </row>
    <row r="1037" spans="1:7" x14ac:dyDescent="0.25">
      <c r="A1037" t="s">
        <v>230</v>
      </c>
      <c r="B1037">
        <v>284</v>
      </c>
      <c r="C1037">
        <v>44</v>
      </c>
      <c r="D1037">
        <v>6</v>
      </c>
      <c r="E1037" t="s">
        <v>23</v>
      </c>
      <c r="F1037" t="s">
        <v>30</v>
      </c>
      <c r="G1037" t="s">
        <v>10</v>
      </c>
    </row>
    <row r="1038" spans="1:7" x14ac:dyDescent="0.25">
      <c r="A1038" t="s">
        <v>463</v>
      </c>
      <c r="B1038">
        <v>313</v>
      </c>
      <c r="C1038">
        <v>44</v>
      </c>
      <c r="D1038">
        <v>3</v>
      </c>
      <c r="E1038" t="s">
        <v>8</v>
      </c>
      <c r="F1038" t="s">
        <v>9</v>
      </c>
      <c r="G1038" t="s">
        <v>10</v>
      </c>
    </row>
    <row r="1039" spans="1:7" x14ac:dyDescent="0.25">
      <c r="A1039" t="s">
        <v>464</v>
      </c>
      <c r="B1039">
        <v>80</v>
      </c>
      <c r="C1039">
        <v>-26</v>
      </c>
      <c r="D1039">
        <v>9</v>
      </c>
      <c r="E1039" t="s">
        <v>23</v>
      </c>
      <c r="F1039" t="s">
        <v>43</v>
      </c>
      <c r="G1039" t="s">
        <v>14</v>
      </c>
    </row>
    <row r="1040" spans="1:7" x14ac:dyDescent="0.25">
      <c r="A1040" t="s">
        <v>465</v>
      </c>
      <c r="B1040">
        <v>48</v>
      </c>
      <c r="C1040">
        <v>-8</v>
      </c>
      <c r="D1040">
        <v>8</v>
      </c>
      <c r="E1040" t="s">
        <v>23</v>
      </c>
      <c r="F1040" t="s">
        <v>57</v>
      </c>
      <c r="G1040" t="s">
        <v>10</v>
      </c>
    </row>
    <row r="1041" spans="1:7" x14ac:dyDescent="0.25">
      <c r="A1041" t="s">
        <v>466</v>
      </c>
      <c r="B1041">
        <v>87</v>
      </c>
      <c r="C1041">
        <v>16</v>
      </c>
      <c r="D1041">
        <v>2</v>
      </c>
      <c r="E1041" t="s">
        <v>23</v>
      </c>
      <c r="F1041" t="s">
        <v>26</v>
      </c>
      <c r="G1041" t="s">
        <v>28</v>
      </c>
    </row>
    <row r="1042" spans="1:7" x14ac:dyDescent="0.25">
      <c r="A1042" t="s">
        <v>288</v>
      </c>
      <c r="B1042">
        <v>47</v>
      </c>
      <c r="C1042">
        <v>-114</v>
      </c>
      <c r="D1042">
        <v>5</v>
      </c>
      <c r="E1042" t="s">
        <v>12</v>
      </c>
      <c r="F1042" t="s">
        <v>131</v>
      </c>
      <c r="G1042" t="s">
        <v>10</v>
      </c>
    </row>
    <row r="1043" spans="1:7" x14ac:dyDescent="0.25">
      <c r="A1043" t="s">
        <v>394</v>
      </c>
      <c r="B1043">
        <v>140</v>
      </c>
      <c r="C1043">
        <v>28</v>
      </c>
      <c r="D1043">
        <v>2</v>
      </c>
      <c r="E1043" t="s">
        <v>8</v>
      </c>
      <c r="F1043" t="s">
        <v>21</v>
      </c>
      <c r="G1043" t="s">
        <v>10</v>
      </c>
    </row>
    <row r="1044" spans="1:7" x14ac:dyDescent="0.25">
      <c r="A1044" t="s">
        <v>173</v>
      </c>
      <c r="B1044">
        <v>47</v>
      </c>
      <c r="C1044">
        <v>1</v>
      </c>
      <c r="D1044">
        <v>2</v>
      </c>
      <c r="E1044" t="s">
        <v>23</v>
      </c>
      <c r="F1044" t="s">
        <v>57</v>
      </c>
      <c r="G1044" t="s">
        <v>10</v>
      </c>
    </row>
    <row r="1045" spans="1:7" x14ac:dyDescent="0.25">
      <c r="A1045" t="s">
        <v>191</v>
      </c>
      <c r="B1045">
        <v>79</v>
      </c>
      <c r="C1045">
        <v>-2</v>
      </c>
      <c r="D1045">
        <v>2</v>
      </c>
      <c r="E1045" t="s">
        <v>12</v>
      </c>
      <c r="F1045" t="s">
        <v>131</v>
      </c>
      <c r="G1045" t="s">
        <v>14</v>
      </c>
    </row>
    <row r="1046" spans="1:7" x14ac:dyDescent="0.25">
      <c r="A1046" t="s">
        <v>163</v>
      </c>
      <c r="B1046">
        <v>78</v>
      </c>
      <c r="C1046">
        <v>-64</v>
      </c>
      <c r="D1046">
        <v>7</v>
      </c>
      <c r="E1046" t="s">
        <v>23</v>
      </c>
      <c r="F1046" t="s">
        <v>57</v>
      </c>
      <c r="G1046" t="s">
        <v>14</v>
      </c>
    </row>
    <row r="1047" spans="1:7" x14ac:dyDescent="0.25">
      <c r="A1047" t="s">
        <v>208</v>
      </c>
      <c r="B1047">
        <v>47</v>
      </c>
      <c r="C1047">
        <v>-3</v>
      </c>
      <c r="D1047">
        <v>2</v>
      </c>
      <c r="E1047" t="s">
        <v>23</v>
      </c>
      <c r="F1047" t="s">
        <v>57</v>
      </c>
      <c r="G1047" t="s">
        <v>10</v>
      </c>
    </row>
    <row r="1048" spans="1:7" x14ac:dyDescent="0.25">
      <c r="A1048" t="s">
        <v>329</v>
      </c>
      <c r="B1048">
        <v>185</v>
      </c>
      <c r="C1048">
        <v>48</v>
      </c>
      <c r="D1048">
        <v>4</v>
      </c>
      <c r="E1048" t="s">
        <v>23</v>
      </c>
      <c r="F1048" t="s">
        <v>57</v>
      </c>
      <c r="G1048" t="s">
        <v>28</v>
      </c>
    </row>
    <row r="1049" spans="1:7" x14ac:dyDescent="0.25">
      <c r="A1049" t="s">
        <v>204</v>
      </c>
      <c r="B1049">
        <v>77</v>
      </c>
      <c r="C1049">
        <v>36</v>
      </c>
      <c r="D1049">
        <v>2</v>
      </c>
      <c r="E1049" t="s">
        <v>23</v>
      </c>
      <c r="F1049" t="s">
        <v>142</v>
      </c>
      <c r="G1049" t="s">
        <v>14</v>
      </c>
    </row>
    <row r="1050" spans="1:7" x14ac:dyDescent="0.25">
      <c r="A1050" t="s">
        <v>467</v>
      </c>
      <c r="B1050">
        <v>259</v>
      </c>
      <c r="C1050">
        <v>47</v>
      </c>
      <c r="D1050">
        <v>5</v>
      </c>
      <c r="E1050" t="s">
        <v>23</v>
      </c>
      <c r="F1050" t="s">
        <v>30</v>
      </c>
      <c r="G1050" t="s">
        <v>28</v>
      </c>
    </row>
    <row r="1051" spans="1:7" x14ac:dyDescent="0.25">
      <c r="A1051" t="s">
        <v>468</v>
      </c>
      <c r="B1051">
        <v>75</v>
      </c>
      <c r="C1051">
        <v>0</v>
      </c>
      <c r="D1051">
        <v>7</v>
      </c>
      <c r="E1051" t="s">
        <v>23</v>
      </c>
      <c r="F1051" t="s">
        <v>26</v>
      </c>
      <c r="G1051" t="s">
        <v>14</v>
      </c>
    </row>
    <row r="1052" spans="1:7" x14ac:dyDescent="0.25">
      <c r="A1052" t="s">
        <v>469</v>
      </c>
      <c r="B1052">
        <v>75</v>
      </c>
      <c r="C1052">
        <v>0</v>
      </c>
      <c r="D1052">
        <v>3</v>
      </c>
      <c r="E1052" t="s">
        <v>23</v>
      </c>
      <c r="F1052" t="s">
        <v>142</v>
      </c>
      <c r="G1052" t="s">
        <v>14</v>
      </c>
    </row>
    <row r="1053" spans="1:7" x14ac:dyDescent="0.25">
      <c r="A1053" t="s">
        <v>193</v>
      </c>
      <c r="B1053">
        <v>46</v>
      </c>
      <c r="C1053">
        <v>0</v>
      </c>
      <c r="D1053">
        <v>4</v>
      </c>
      <c r="E1053" t="s">
        <v>23</v>
      </c>
      <c r="F1053" t="s">
        <v>63</v>
      </c>
      <c r="G1053" t="s">
        <v>10</v>
      </c>
    </row>
    <row r="1054" spans="1:7" x14ac:dyDescent="0.25">
      <c r="A1054" t="s">
        <v>194</v>
      </c>
      <c r="B1054">
        <v>46</v>
      </c>
      <c r="C1054">
        <v>13</v>
      </c>
      <c r="D1054">
        <v>3</v>
      </c>
      <c r="E1054" t="s">
        <v>23</v>
      </c>
      <c r="F1054" t="s">
        <v>30</v>
      </c>
      <c r="G1054" t="s">
        <v>10</v>
      </c>
    </row>
    <row r="1055" spans="1:7" x14ac:dyDescent="0.25">
      <c r="A1055" t="s">
        <v>15</v>
      </c>
      <c r="B1055">
        <v>200</v>
      </c>
      <c r="C1055">
        <v>13</v>
      </c>
      <c r="D1055">
        <v>5</v>
      </c>
      <c r="E1055" t="s">
        <v>8</v>
      </c>
      <c r="F1055" t="s">
        <v>21</v>
      </c>
      <c r="G1055" t="s">
        <v>10</v>
      </c>
    </row>
    <row r="1056" spans="1:7" x14ac:dyDescent="0.25">
      <c r="A1056" t="s">
        <v>470</v>
      </c>
      <c r="B1056">
        <v>46</v>
      </c>
      <c r="C1056">
        <v>-14</v>
      </c>
      <c r="D1056">
        <v>1</v>
      </c>
      <c r="E1056" t="s">
        <v>8</v>
      </c>
      <c r="F1056" t="s">
        <v>21</v>
      </c>
      <c r="G1056" t="s">
        <v>10</v>
      </c>
    </row>
    <row r="1057" spans="1:7" x14ac:dyDescent="0.25">
      <c r="A1057" t="s">
        <v>471</v>
      </c>
      <c r="B1057">
        <v>126</v>
      </c>
      <c r="C1057">
        <v>52</v>
      </c>
      <c r="D1057">
        <v>4</v>
      </c>
      <c r="E1057" t="s">
        <v>23</v>
      </c>
      <c r="F1057" t="s">
        <v>30</v>
      </c>
      <c r="G1057" t="s">
        <v>28</v>
      </c>
    </row>
    <row r="1058" spans="1:7" x14ac:dyDescent="0.25">
      <c r="A1058" t="s">
        <v>269</v>
      </c>
      <c r="B1058">
        <v>74</v>
      </c>
      <c r="C1058">
        <v>29</v>
      </c>
      <c r="D1058">
        <v>3</v>
      </c>
      <c r="E1058" t="s">
        <v>23</v>
      </c>
      <c r="F1058" t="s">
        <v>57</v>
      </c>
      <c r="G1058" t="s">
        <v>14</v>
      </c>
    </row>
    <row r="1059" spans="1:7" x14ac:dyDescent="0.25">
      <c r="A1059" t="s">
        <v>236</v>
      </c>
      <c r="B1059">
        <v>45</v>
      </c>
      <c r="C1059">
        <v>13</v>
      </c>
      <c r="D1059">
        <v>4</v>
      </c>
      <c r="E1059" t="s">
        <v>23</v>
      </c>
      <c r="F1059" t="s">
        <v>43</v>
      </c>
      <c r="G1059" t="s">
        <v>10</v>
      </c>
    </row>
    <row r="1060" spans="1:7" x14ac:dyDescent="0.25">
      <c r="A1060" t="s">
        <v>212</v>
      </c>
      <c r="B1060">
        <v>74</v>
      </c>
      <c r="C1060">
        <v>9</v>
      </c>
      <c r="D1060">
        <v>3</v>
      </c>
      <c r="E1060" t="s">
        <v>23</v>
      </c>
      <c r="F1060" t="s">
        <v>142</v>
      </c>
      <c r="G1060" t="s">
        <v>28</v>
      </c>
    </row>
    <row r="1061" spans="1:7" x14ac:dyDescent="0.25">
      <c r="A1061" t="s">
        <v>292</v>
      </c>
      <c r="B1061">
        <v>129</v>
      </c>
      <c r="C1061">
        <v>11</v>
      </c>
      <c r="D1061">
        <v>2</v>
      </c>
      <c r="E1061" t="s">
        <v>8</v>
      </c>
      <c r="F1061" t="s">
        <v>21</v>
      </c>
      <c r="G1061" t="s">
        <v>28</v>
      </c>
    </row>
    <row r="1062" spans="1:7" x14ac:dyDescent="0.25">
      <c r="A1062" t="s">
        <v>329</v>
      </c>
      <c r="B1062">
        <v>122</v>
      </c>
      <c r="C1062">
        <v>50</v>
      </c>
      <c r="D1062">
        <v>7</v>
      </c>
      <c r="E1062" t="s">
        <v>23</v>
      </c>
      <c r="F1062" t="s">
        <v>57</v>
      </c>
      <c r="G1062" t="s">
        <v>28</v>
      </c>
    </row>
    <row r="1063" spans="1:7" x14ac:dyDescent="0.25">
      <c r="A1063" t="s">
        <v>224</v>
      </c>
      <c r="B1063">
        <v>74</v>
      </c>
      <c r="C1063">
        <v>-51</v>
      </c>
      <c r="D1063">
        <v>3</v>
      </c>
      <c r="E1063" t="s">
        <v>23</v>
      </c>
      <c r="F1063" t="s">
        <v>57</v>
      </c>
      <c r="G1063" t="s">
        <v>28</v>
      </c>
    </row>
    <row r="1064" spans="1:7" x14ac:dyDescent="0.25">
      <c r="A1064" t="s">
        <v>261</v>
      </c>
      <c r="B1064">
        <v>278</v>
      </c>
      <c r="C1064">
        <v>39</v>
      </c>
      <c r="D1064">
        <v>5</v>
      </c>
      <c r="E1064" t="s">
        <v>12</v>
      </c>
      <c r="F1064" t="s">
        <v>13</v>
      </c>
      <c r="G1064" t="s">
        <v>82</v>
      </c>
    </row>
    <row r="1065" spans="1:7" x14ac:dyDescent="0.25">
      <c r="A1065" t="s">
        <v>472</v>
      </c>
      <c r="B1065">
        <v>282</v>
      </c>
      <c r="C1065">
        <v>14</v>
      </c>
      <c r="D1065">
        <v>4</v>
      </c>
      <c r="E1065" t="s">
        <v>23</v>
      </c>
      <c r="F1065" t="s">
        <v>24</v>
      </c>
      <c r="G1065" t="s">
        <v>82</v>
      </c>
    </row>
    <row r="1066" spans="1:7" x14ac:dyDescent="0.25">
      <c r="A1066" t="s">
        <v>166</v>
      </c>
      <c r="B1066">
        <v>45</v>
      </c>
      <c r="C1066">
        <v>0</v>
      </c>
      <c r="D1066">
        <v>2</v>
      </c>
      <c r="E1066" t="s">
        <v>23</v>
      </c>
      <c r="F1066" t="s">
        <v>81</v>
      </c>
      <c r="G1066" t="s">
        <v>10</v>
      </c>
    </row>
    <row r="1067" spans="1:7" x14ac:dyDescent="0.25">
      <c r="A1067" t="s">
        <v>79</v>
      </c>
      <c r="B1067">
        <v>45</v>
      </c>
      <c r="C1067">
        <v>6</v>
      </c>
      <c r="D1067">
        <v>3</v>
      </c>
      <c r="E1067" t="s">
        <v>23</v>
      </c>
      <c r="F1067" t="s">
        <v>142</v>
      </c>
      <c r="G1067" t="s">
        <v>10</v>
      </c>
    </row>
    <row r="1068" spans="1:7" x14ac:dyDescent="0.25">
      <c r="A1068" t="s">
        <v>424</v>
      </c>
      <c r="B1068">
        <v>45</v>
      </c>
      <c r="C1068">
        <v>16</v>
      </c>
      <c r="D1068">
        <v>3</v>
      </c>
      <c r="E1068" t="s">
        <v>23</v>
      </c>
      <c r="F1068" t="s">
        <v>57</v>
      </c>
      <c r="G1068" t="s">
        <v>10</v>
      </c>
    </row>
    <row r="1069" spans="1:7" x14ac:dyDescent="0.25">
      <c r="A1069" t="s">
        <v>473</v>
      </c>
      <c r="B1069">
        <v>73</v>
      </c>
      <c r="C1069">
        <v>-36</v>
      </c>
      <c r="D1069">
        <v>3</v>
      </c>
      <c r="E1069" t="s">
        <v>12</v>
      </c>
      <c r="F1069" t="s">
        <v>13</v>
      </c>
      <c r="G1069" t="s">
        <v>28</v>
      </c>
    </row>
    <row r="1070" spans="1:7" x14ac:dyDescent="0.25">
      <c r="A1070" t="s">
        <v>113</v>
      </c>
      <c r="B1070">
        <v>45</v>
      </c>
      <c r="C1070">
        <v>12</v>
      </c>
      <c r="D1070">
        <v>4</v>
      </c>
      <c r="E1070" t="s">
        <v>23</v>
      </c>
      <c r="F1070" t="s">
        <v>30</v>
      </c>
      <c r="G1070" t="s">
        <v>10</v>
      </c>
    </row>
    <row r="1071" spans="1:7" x14ac:dyDescent="0.25">
      <c r="A1071" t="s">
        <v>344</v>
      </c>
      <c r="B1071">
        <v>72</v>
      </c>
      <c r="C1071">
        <v>-6</v>
      </c>
      <c r="D1071">
        <v>3</v>
      </c>
      <c r="E1071" t="s">
        <v>23</v>
      </c>
      <c r="F1071" t="s">
        <v>26</v>
      </c>
      <c r="G1071" t="s">
        <v>28</v>
      </c>
    </row>
    <row r="1072" spans="1:7" x14ac:dyDescent="0.25">
      <c r="A1072" t="s">
        <v>403</v>
      </c>
      <c r="B1072">
        <v>71</v>
      </c>
      <c r="C1072">
        <v>-44</v>
      </c>
      <c r="D1072">
        <v>5</v>
      </c>
      <c r="E1072" t="s">
        <v>8</v>
      </c>
      <c r="F1072" t="s">
        <v>73</v>
      </c>
      <c r="G1072" t="s">
        <v>28</v>
      </c>
    </row>
    <row r="1073" spans="1:7" x14ac:dyDescent="0.25">
      <c r="A1073" t="s">
        <v>461</v>
      </c>
      <c r="B1073">
        <v>45</v>
      </c>
      <c r="C1073">
        <v>-2</v>
      </c>
      <c r="D1073">
        <v>4</v>
      </c>
      <c r="E1073" t="s">
        <v>23</v>
      </c>
      <c r="F1073" t="s">
        <v>142</v>
      </c>
      <c r="G1073" t="s">
        <v>10</v>
      </c>
    </row>
    <row r="1074" spans="1:7" x14ac:dyDescent="0.25">
      <c r="A1074" t="s">
        <v>173</v>
      </c>
      <c r="B1074">
        <v>286</v>
      </c>
      <c r="C1074">
        <v>140</v>
      </c>
      <c r="D1074">
        <v>6</v>
      </c>
      <c r="E1074" t="s">
        <v>23</v>
      </c>
      <c r="F1074" t="s">
        <v>142</v>
      </c>
      <c r="G1074" t="s">
        <v>82</v>
      </c>
    </row>
    <row r="1075" spans="1:7" x14ac:dyDescent="0.25">
      <c r="A1075" t="s">
        <v>474</v>
      </c>
      <c r="B1075">
        <v>294</v>
      </c>
      <c r="C1075">
        <v>138</v>
      </c>
      <c r="D1075">
        <v>2</v>
      </c>
      <c r="E1075" t="s">
        <v>8</v>
      </c>
      <c r="F1075" t="s">
        <v>18</v>
      </c>
      <c r="G1075" t="s">
        <v>82</v>
      </c>
    </row>
    <row r="1076" spans="1:7" x14ac:dyDescent="0.25">
      <c r="A1076" t="s">
        <v>159</v>
      </c>
      <c r="B1076">
        <v>223</v>
      </c>
      <c r="C1076">
        <v>4</v>
      </c>
      <c r="D1076">
        <v>3</v>
      </c>
      <c r="E1076" t="s">
        <v>8</v>
      </c>
      <c r="F1076" t="s">
        <v>21</v>
      </c>
      <c r="G1076" t="s">
        <v>10</v>
      </c>
    </row>
    <row r="1077" spans="1:7" x14ac:dyDescent="0.25">
      <c r="A1077" t="s">
        <v>475</v>
      </c>
      <c r="B1077">
        <v>20</v>
      </c>
      <c r="C1077">
        <v>-2</v>
      </c>
      <c r="D1077">
        <v>1</v>
      </c>
      <c r="E1077" t="s">
        <v>8</v>
      </c>
      <c r="F1077" t="s">
        <v>73</v>
      </c>
      <c r="G1077" t="s">
        <v>28</v>
      </c>
    </row>
    <row r="1078" spans="1:7" x14ac:dyDescent="0.25">
      <c r="A1078" t="s">
        <v>275</v>
      </c>
      <c r="B1078">
        <v>302</v>
      </c>
      <c r="C1078">
        <v>75</v>
      </c>
      <c r="D1078">
        <v>6</v>
      </c>
      <c r="E1078" t="s">
        <v>12</v>
      </c>
      <c r="F1078" t="s">
        <v>131</v>
      </c>
      <c r="G1078" t="s">
        <v>82</v>
      </c>
    </row>
    <row r="1079" spans="1:7" x14ac:dyDescent="0.25">
      <c r="A1079" t="s">
        <v>301</v>
      </c>
      <c r="B1079">
        <v>113</v>
      </c>
      <c r="C1079">
        <v>28</v>
      </c>
      <c r="D1079">
        <v>2</v>
      </c>
      <c r="E1079" t="s">
        <v>23</v>
      </c>
      <c r="F1079" t="s">
        <v>26</v>
      </c>
      <c r="G1079" t="s">
        <v>28</v>
      </c>
    </row>
    <row r="1080" spans="1:7" x14ac:dyDescent="0.25">
      <c r="A1080" t="s">
        <v>132</v>
      </c>
      <c r="B1080">
        <v>44</v>
      </c>
      <c r="C1080">
        <v>2</v>
      </c>
      <c r="D1080">
        <v>3</v>
      </c>
      <c r="E1080" t="s">
        <v>23</v>
      </c>
      <c r="F1080" t="s">
        <v>30</v>
      </c>
      <c r="G1080" t="s">
        <v>10</v>
      </c>
    </row>
    <row r="1081" spans="1:7" x14ac:dyDescent="0.25">
      <c r="A1081" t="s">
        <v>476</v>
      </c>
      <c r="B1081">
        <v>305</v>
      </c>
      <c r="C1081">
        <v>-270</v>
      </c>
      <c r="D1081">
        <v>5</v>
      </c>
      <c r="E1081" t="s">
        <v>8</v>
      </c>
      <c r="F1081" t="s">
        <v>9</v>
      </c>
      <c r="G1081" t="s">
        <v>82</v>
      </c>
    </row>
    <row r="1082" spans="1:7" x14ac:dyDescent="0.25">
      <c r="A1082" t="s">
        <v>469</v>
      </c>
      <c r="B1082">
        <v>306</v>
      </c>
      <c r="C1082">
        <v>-147</v>
      </c>
      <c r="D1082">
        <v>3</v>
      </c>
      <c r="E1082" t="s">
        <v>23</v>
      </c>
      <c r="F1082" t="s">
        <v>26</v>
      </c>
      <c r="G1082" t="s">
        <v>82</v>
      </c>
    </row>
    <row r="1083" spans="1:7" x14ac:dyDescent="0.25">
      <c r="A1083" t="s">
        <v>272</v>
      </c>
      <c r="B1083">
        <v>70</v>
      </c>
      <c r="C1083">
        <v>-64</v>
      </c>
      <c r="D1083">
        <v>5</v>
      </c>
      <c r="E1083" t="s">
        <v>23</v>
      </c>
      <c r="F1083" t="s">
        <v>57</v>
      </c>
      <c r="G1083" t="s">
        <v>28</v>
      </c>
    </row>
    <row r="1084" spans="1:7" x14ac:dyDescent="0.25">
      <c r="A1084" t="s">
        <v>281</v>
      </c>
      <c r="B1084">
        <v>44</v>
      </c>
      <c r="C1084">
        <v>11</v>
      </c>
      <c r="D1084">
        <v>4</v>
      </c>
      <c r="E1084" t="s">
        <v>23</v>
      </c>
      <c r="F1084" t="s">
        <v>57</v>
      </c>
      <c r="G1084" t="s">
        <v>10</v>
      </c>
    </row>
    <row r="1085" spans="1:7" x14ac:dyDescent="0.25">
      <c r="A1085" t="s">
        <v>133</v>
      </c>
      <c r="B1085">
        <v>44</v>
      </c>
      <c r="C1085">
        <v>14</v>
      </c>
      <c r="D1085">
        <v>3</v>
      </c>
      <c r="E1085" t="s">
        <v>23</v>
      </c>
      <c r="F1085" t="s">
        <v>30</v>
      </c>
      <c r="G1085" t="s">
        <v>10</v>
      </c>
    </row>
    <row r="1086" spans="1:7" x14ac:dyDescent="0.25">
      <c r="A1086" t="s">
        <v>54</v>
      </c>
      <c r="B1086">
        <v>319</v>
      </c>
      <c r="C1086">
        <v>312</v>
      </c>
      <c r="D1086">
        <v>5</v>
      </c>
      <c r="E1086" t="s">
        <v>23</v>
      </c>
      <c r="F1086" t="s">
        <v>26</v>
      </c>
      <c r="G1086" t="s">
        <v>82</v>
      </c>
    </row>
    <row r="1087" spans="1:7" x14ac:dyDescent="0.25">
      <c r="A1087" t="s">
        <v>249</v>
      </c>
      <c r="B1087">
        <v>287</v>
      </c>
      <c r="C1087">
        <v>-280</v>
      </c>
      <c r="D1087">
        <v>12</v>
      </c>
      <c r="E1087" t="s">
        <v>12</v>
      </c>
      <c r="F1087" t="s">
        <v>13</v>
      </c>
      <c r="G1087" t="s">
        <v>28</v>
      </c>
    </row>
    <row r="1088" spans="1:7" x14ac:dyDescent="0.25">
      <c r="A1088" t="s">
        <v>328</v>
      </c>
      <c r="B1088">
        <v>44</v>
      </c>
      <c r="C1088">
        <v>10</v>
      </c>
      <c r="D1088">
        <v>3</v>
      </c>
      <c r="E1088" t="s">
        <v>23</v>
      </c>
      <c r="F1088" t="s">
        <v>57</v>
      </c>
      <c r="G1088" t="s">
        <v>10</v>
      </c>
    </row>
    <row r="1089" spans="1:7" x14ac:dyDescent="0.25">
      <c r="A1089" t="s">
        <v>143</v>
      </c>
      <c r="B1089">
        <v>288</v>
      </c>
      <c r="C1089">
        <v>-180</v>
      </c>
      <c r="D1089">
        <v>4</v>
      </c>
      <c r="E1089" t="s">
        <v>12</v>
      </c>
      <c r="F1089" t="s">
        <v>13</v>
      </c>
      <c r="G1089" t="s">
        <v>10</v>
      </c>
    </row>
    <row r="1090" spans="1:7" x14ac:dyDescent="0.25">
      <c r="A1090" t="s">
        <v>80</v>
      </c>
      <c r="B1090">
        <v>49</v>
      </c>
      <c r="C1090">
        <v>-31</v>
      </c>
      <c r="D1090">
        <v>2</v>
      </c>
      <c r="E1090" t="s">
        <v>23</v>
      </c>
      <c r="F1090" t="s">
        <v>57</v>
      </c>
      <c r="G1090" t="s">
        <v>10</v>
      </c>
    </row>
    <row r="1091" spans="1:7" x14ac:dyDescent="0.25">
      <c r="A1091" t="s">
        <v>192</v>
      </c>
      <c r="B1091">
        <v>43</v>
      </c>
      <c r="C1091">
        <v>-10</v>
      </c>
      <c r="D1091">
        <v>4</v>
      </c>
      <c r="E1091" t="s">
        <v>23</v>
      </c>
      <c r="F1091" t="s">
        <v>43</v>
      </c>
      <c r="G1091" t="s">
        <v>10</v>
      </c>
    </row>
    <row r="1092" spans="1:7" x14ac:dyDescent="0.25">
      <c r="A1092" t="s">
        <v>185</v>
      </c>
      <c r="B1092">
        <v>43</v>
      </c>
      <c r="C1092">
        <v>5</v>
      </c>
      <c r="D1092">
        <v>3</v>
      </c>
      <c r="E1092" t="s">
        <v>23</v>
      </c>
      <c r="F1092" t="s">
        <v>57</v>
      </c>
      <c r="G1092" t="s">
        <v>10</v>
      </c>
    </row>
    <row r="1093" spans="1:7" x14ac:dyDescent="0.25">
      <c r="A1093" t="s">
        <v>7</v>
      </c>
      <c r="B1093">
        <v>68</v>
      </c>
      <c r="C1093">
        <v>-27</v>
      </c>
      <c r="D1093">
        <v>3</v>
      </c>
      <c r="E1093" t="s">
        <v>8</v>
      </c>
      <c r="F1093" t="s">
        <v>73</v>
      </c>
      <c r="G1093" t="s">
        <v>28</v>
      </c>
    </row>
    <row r="1094" spans="1:7" x14ac:dyDescent="0.25">
      <c r="A1094" t="s">
        <v>113</v>
      </c>
      <c r="B1094">
        <v>320</v>
      </c>
      <c r="C1094">
        <v>144</v>
      </c>
      <c r="D1094">
        <v>1</v>
      </c>
      <c r="E1094" t="s">
        <v>8</v>
      </c>
      <c r="F1094" t="s">
        <v>18</v>
      </c>
      <c r="G1094" t="s">
        <v>82</v>
      </c>
    </row>
    <row r="1095" spans="1:7" x14ac:dyDescent="0.25">
      <c r="A1095" t="s">
        <v>129</v>
      </c>
      <c r="B1095">
        <v>67</v>
      </c>
      <c r="C1095">
        <v>2</v>
      </c>
      <c r="D1095">
        <v>4</v>
      </c>
      <c r="E1095" t="s">
        <v>23</v>
      </c>
      <c r="F1095" t="s">
        <v>81</v>
      </c>
      <c r="G1095" t="s">
        <v>28</v>
      </c>
    </row>
    <row r="1096" spans="1:7" x14ac:dyDescent="0.25">
      <c r="A1096" t="s">
        <v>346</v>
      </c>
      <c r="B1096">
        <v>66</v>
      </c>
      <c r="C1096">
        <v>-12</v>
      </c>
      <c r="D1096">
        <v>5</v>
      </c>
      <c r="E1096" t="s">
        <v>23</v>
      </c>
      <c r="F1096" t="s">
        <v>57</v>
      </c>
      <c r="G1096" t="s">
        <v>28</v>
      </c>
    </row>
    <row r="1097" spans="1:7" x14ac:dyDescent="0.25">
      <c r="A1097" t="s">
        <v>379</v>
      </c>
      <c r="B1097">
        <v>321</v>
      </c>
      <c r="C1097">
        <v>26</v>
      </c>
      <c r="D1097">
        <v>3</v>
      </c>
      <c r="E1097" t="s">
        <v>8</v>
      </c>
      <c r="F1097" t="s">
        <v>18</v>
      </c>
      <c r="G1097" t="s">
        <v>82</v>
      </c>
    </row>
    <row r="1098" spans="1:7" x14ac:dyDescent="0.25">
      <c r="A1098" t="s">
        <v>262</v>
      </c>
      <c r="B1098">
        <v>43</v>
      </c>
      <c r="C1098">
        <v>-5</v>
      </c>
      <c r="D1098">
        <v>2</v>
      </c>
      <c r="E1098" t="s">
        <v>23</v>
      </c>
      <c r="F1098" t="s">
        <v>26</v>
      </c>
      <c r="G1098" t="s">
        <v>10</v>
      </c>
    </row>
    <row r="1099" spans="1:7" x14ac:dyDescent="0.25">
      <c r="A1099" t="s">
        <v>229</v>
      </c>
      <c r="B1099">
        <v>114</v>
      </c>
      <c r="C1099">
        <v>-39</v>
      </c>
      <c r="D1099">
        <v>5</v>
      </c>
      <c r="E1099" t="s">
        <v>23</v>
      </c>
      <c r="F1099" t="s">
        <v>32</v>
      </c>
      <c r="G1099" t="s">
        <v>10</v>
      </c>
    </row>
    <row r="1100" spans="1:7" x14ac:dyDescent="0.25">
      <c r="A1100" t="s">
        <v>178</v>
      </c>
      <c r="B1100">
        <v>43</v>
      </c>
      <c r="C1100">
        <v>17</v>
      </c>
      <c r="D1100">
        <v>1</v>
      </c>
      <c r="E1100" t="s">
        <v>23</v>
      </c>
      <c r="F1100" t="s">
        <v>26</v>
      </c>
      <c r="G1100" t="s">
        <v>10</v>
      </c>
    </row>
    <row r="1101" spans="1:7" x14ac:dyDescent="0.25">
      <c r="A1101" t="s">
        <v>262</v>
      </c>
      <c r="B1101">
        <v>43</v>
      </c>
      <c r="C1101">
        <v>21</v>
      </c>
      <c r="D1101">
        <v>3</v>
      </c>
      <c r="E1101" t="s">
        <v>23</v>
      </c>
      <c r="F1101" t="s">
        <v>142</v>
      </c>
      <c r="G1101" t="s">
        <v>10</v>
      </c>
    </row>
    <row r="1102" spans="1:7" x14ac:dyDescent="0.25">
      <c r="A1102" t="s">
        <v>200</v>
      </c>
      <c r="B1102">
        <v>637</v>
      </c>
      <c r="C1102">
        <v>50</v>
      </c>
      <c r="D1102">
        <v>5</v>
      </c>
      <c r="E1102" t="s">
        <v>23</v>
      </c>
      <c r="F1102" t="s">
        <v>26</v>
      </c>
      <c r="G1102" t="s">
        <v>10</v>
      </c>
    </row>
    <row r="1103" spans="1:7" x14ac:dyDescent="0.25">
      <c r="A1103" t="s">
        <v>31</v>
      </c>
      <c r="B1103">
        <v>300</v>
      </c>
      <c r="C1103">
        <v>42</v>
      </c>
      <c r="D1103">
        <v>2</v>
      </c>
      <c r="E1103" t="s">
        <v>8</v>
      </c>
      <c r="F1103" t="s">
        <v>18</v>
      </c>
      <c r="G1103" t="s">
        <v>10</v>
      </c>
    </row>
    <row r="1104" spans="1:7" x14ac:dyDescent="0.25">
      <c r="A1104" t="s">
        <v>477</v>
      </c>
      <c r="B1104">
        <v>341</v>
      </c>
      <c r="C1104">
        <v>44</v>
      </c>
      <c r="D1104">
        <v>7</v>
      </c>
      <c r="E1104" t="s">
        <v>12</v>
      </c>
      <c r="F1104" t="s">
        <v>131</v>
      </c>
      <c r="G1104" t="s">
        <v>28</v>
      </c>
    </row>
    <row r="1105" spans="1:7" x14ac:dyDescent="0.25">
      <c r="A1105" t="s">
        <v>120</v>
      </c>
      <c r="B1105">
        <v>102</v>
      </c>
      <c r="C1105">
        <v>0</v>
      </c>
      <c r="D1105">
        <v>3</v>
      </c>
      <c r="E1105" t="s">
        <v>8</v>
      </c>
      <c r="F1105" t="s">
        <v>21</v>
      </c>
      <c r="G1105" t="s">
        <v>10</v>
      </c>
    </row>
    <row r="1106" spans="1:7" x14ac:dyDescent="0.25">
      <c r="A1106" t="s">
        <v>37</v>
      </c>
      <c r="B1106">
        <v>328</v>
      </c>
      <c r="C1106">
        <v>-15</v>
      </c>
      <c r="D1106">
        <v>3</v>
      </c>
      <c r="E1106" t="s">
        <v>8</v>
      </c>
      <c r="F1106" t="s">
        <v>9</v>
      </c>
      <c r="G1106" t="s">
        <v>82</v>
      </c>
    </row>
    <row r="1107" spans="1:7" x14ac:dyDescent="0.25">
      <c r="A1107" t="s">
        <v>478</v>
      </c>
      <c r="B1107">
        <v>341</v>
      </c>
      <c r="C1107">
        <v>160</v>
      </c>
      <c r="D1107">
        <v>7</v>
      </c>
      <c r="E1107" t="s">
        <v>23</v>
      </c>
      <c r="F1107" t="s">
        <v>57</v>
      </c>
      <c r="G1107" t="s">
        <v>82</v>
      </c>
    </row>
    <row r="1108" spans="1:7" x14ac:dyDescent="0.25">
      <c r="A1108" t="s">
        <v>479</v>
      </c>
      <c r="B1108">
        <v>62</v>
      </c>
      <c r="C1108">
        <v>11</v>
      </c>
      <c r="D1108">
        <v>7</v>
      </c>
      <c r="E1108" t="s">
        <v>23</v>
      </c>
      <c r="F1108" t="s">
        <v>30</v>
      </c>
      <c r="G1108" t="s">
        <v>28</v>
      </c>
    </row>
    <row r="1109" spans="1:7" x14ac:dyDescent="0.25">
      <c r="A1109" t="s">
        <v>264</v>
      </c>
      <c r="B1109">
        <v>42</v>
      </c>
      <c r="C1109">
        <v>13</v>
      </c>
      <c r="D1109">
        <v>3</v>
      </c>
      <c r="E1109" t="s">
        <v>23</v>
      </c>
      <c r="F1109" t="s">
        <v>63</v>
      </c>
      <c r="G1109" t="s">
        <v>10</v>
      </c>
    </row>
    <row r="1110" spans="1:7" x14ac:dyDescent="0.25">
      <c r="A1110" t="s">
        <v>329</v>
      </c>
      <c r="B1110">
        <v>62</v>
      </c>
      <c r="C1110">
        <v>28</v>
      </c>
      <c r="D1110">
        <v>5</v>
      </c>
      <c r="E1110" t="s">
        <v>23</v>
      </c>
      <c r="F1110" t="s">
        <v>30</v>
      </c>
      <c r="G1110" t="s">
        <v>28</v>
      </c>
    </row>
    <row r="1111" spans="1:7" x14ac:dyDescent="0.25">
      <c r="A1111" t="s">
        <v>191</v>
      </c>
      <c r="B1111">
        <v>42</v>
      </c>
      <c r="C1111">
        <v>7</v>
      </c>
      <c r="D1111">
        <v>2</v>
      </c>
      <c r="E1111" t="s">
        <v>23</v>
      </c>
      <c r="F1111" t="s">
        <v>32</v>
      </c>
      <c r="G1111" t="s">
        <v>10</v>
      </c>
    </row>
    <row r="1112" spans="1:7" x14ac:dyDescent="0.25">
      <c r="A1112" t="s">
        <v>480</v>
      </c>
      <c r="B1112">
        <v>42</v>
      </c>
      <c r="C1112">
        <v>-3</v>
      </c>
      <c r="D1112">
        <v>1</v>
      </c>
      <c r="E1112" t="s">
        <v>8</v>
      </c>
      <c r="F1112" t="s">
        <v>9</v>
      </c>
      <c r="G1112" t="s">
        <v>10</v>
      </c>
    </row>
    <row r="1113" spans="1:7" x14ac:dyDescent="0.25">
      <c r="A1113" t="s">
        <v>420</v>
      </c>
      <c r="B1113">
        <v>313</v>
      </c>
      <c r="C1113">
        <v>-13</v>
      </c>
      <c r="D1113">
        <v>5</v>
      </c>
      <c r="E1113" t="s">
        <v>12</v>
      </c>
      <c r="F1113" t="s">
        <v>16</v>
      </c>
      <c r="G1113" t="s">
        <v>28</v>
      </c>
    </row>
    <row r="1114" spans="1:7" x14ac:dyDescent="0.25">
      <c r="A1114" t="s">
        <v>106</v>
      </c>
      <c r="B1114">
        <v>109</v>
      </c>
      <c r="C1114">
        <v>52</v>
      </c>
      <c r="D1114">
        <v>2</v>
      </c>
      <c r="E1114" t="s">
        <v>23</v>
      </c>
      <c r="F1114" t="s">
        <v>57</v>
      </c>
      <c r="G1114" t="s">
        <v>28</v>
      </c>
    </row>
    <row r="1115" spans="1:7" x14ac:dyDescent="0.25">
      <c r="A1115" t="s">
        <v>35</v>
      </c>
      <c r="B1115">
        <v>226</v>
      </c>
      <c r="C1115">
        <v>58</v>
      </c>
      <c r="D1115">
        <v>3</v>
      </c>
      <c r="E1115" t="s">
        <v>8</v>
      </c>
      <c r="F1115" t="s">
        <v>73</v>
      </c>
      <c r="G1115" t="s">
        <v>10</v>
      </c>
    </row>
    <row r="1116" spans="1:7" x14ac:dyDescent="0.25">
      <c r="A1116" t="s">
        <v>84</v>
      </c>
      <c r="B1116">
        <v>62</v>
      </c>
      <c r="C1116">
        <v>-1</v>
      </c>
      <c r="D1116">
        <v>1</v>
      </c>
      <c r="E1116" t="s">
        <v>8</v>
      </c>
      <c r="F1116" t="s">
        <v>21</v>
      </c>
      <c r="G1116" t="s">
        <v>28</v>
      </c>
    </row>
    <row r="1117" spans="1:7" x14ac:dyDescent="0.25">
      <c r="A1117" t="s">
        <v>97</v>
      </c>
      <c r="B1117">
        <v>61</v>
      </c>
      <c r="C1117">
        <v>-25</v>
      </c>
      <c r="D1117">
        <v>4</v>
      </c>
      <c r="E1117" t="s">
        <v>8</v>
      </c>
      <c r="F1117" t="s">
        <v>73</v>
      </c>
      <c r="G1117" t="s">
        <v>28</v>
      </c>
    </row>
    <row r="1118" spans="1:7" x14ac:dyDescent="0.25">
      <c r="A1118" t="s">
        <v>292</v>
      </c>
      <c r="B1118">
        <v>222</v>
      </c>
      <c r="C1118">
        <v>74</v>
      </c>
      <c r="D1118">
        <v>5</v>
      </c>
      <c r="E1118" t="s">
        <v>23</v>
      </c>
      <c r="F1118" t="s">
        <v>30</v>
      </c>
      <c r="G1118" t="s">
        <v>10</v>
      </c>
    </row>
    <row r="1119" spans="1:7" x14ac:dyDescent="0.25">
      <c r="A1119" t="s">
        <v>234</v>
      </c>
      <c r="B1119">
        <v>342</v>
      </c>
      <c r="C1119">
        <v>-154</v>
      </c>
      <c r="D1119">
        <v>7</v>
      </c>
      <c r="E1119" t="s">
        <v>12</v>
      </c>
      <c r="F1119" t="s">
        <v>131</v>
      </c>
      <c r="G1119" t="s">
        <v>82</v>
      </c>
    </row>
    <row r="1120" spans="1:7" x14ac:dyDescent="0.25">
      <c r="A1120" t="s">
        <v>100</v>
      </c>
      <c r="B1120">
        <v>344</v>
      </c>
      <c r="C1120">
        <v>-34</v>
      </c>
      <c r="D1120">
        <v>3</v>
      </c>
      <c r="E1120" t="s">
        <v>23</v>
      </c>
      <c r="F1120" t="s">
        <v>26</v>
      </c>
      <c r="G1120" t="s">
        <v>82</v>
      </c>
    </row>
    <row r="1121" spans="1:7" x14ac:dyDescent="0.25">
      <c r="A1121" t="s">
        <v>481</v>
      </c>
      <c r="B1121">
        <v>345</v>
      </c>
      <c r="C1121">
        <v>38</v>
      </c>
      <c r="D1121">
        <v>7</v>
      </c>
      <c r="E1121" t="s">
        <v>23</v>
      </c>
      <c r="F1121" t="s">
        <v>30</v>
      </c>
      <c r="G1121" t="s">
        <v>82</v>
      </c>
    </row>
    <row r="1122" spans="1:7" x14ac:dyDescent="0.25">
      <c r="A1122" t="s">
        <v>482</v>
      </c>
      <c r="B1122">
        <v>46</v>
      </c>
      <c r="C1122">
        <v>0</v>
      </c>
      <c r="D1122">
        <v>2</v>
      </c>
      <c r="E1122" t="s">
        <v>8</v>
      </c>
      <c r="F1122" t="s">
        <v>9</v>
      </c>
      <c r="G1122" t="s">
        <v>10</v>
      </c>
    </row>
    <row r="1123" spans="1:7" x14ac:dyDescent="0.25">
      <c r="A1123" t="s">
        <v>241</v>
      </c>
      <c r="B1123">
        <v>255</v>
      </c>
      <c r="C1123">
        <v>74</v>
      </c>
      <c r="D1123">
        <v>5</v>
      </c>
      <c r="E1123" t="s">
        <v>23</v>
      </c>
      <c r="F1123" t="s">
        <v>30</v>
      </c>
      <c r="G1123" t="s">
        <v>10</v>
      </c>
    </row>
    <row r="1124" spans="1:7" x14ac:dyDescent="0.25">
      <c r="A1124" t="s">
        <v>370</v>
      </c>
      <c r="B1124">
        <v>360</v>
      </c>
      <c r="C1124">
        <v>32</v>
      </c>
      <c r="D1124">
        <v>3</v>
      </c>
      <c r="E1124" t="s">
        <v>23</v>
      </c>
      <c r="F1124" t="s">
        <v>26</v>
      </c>
      <c r="G1124" t="s">
        <v>28</v>
      </c>
    </row>
    <row r="1125" spans="1:7" x14ac:dyDescent="0.25">
      <c r="A1125" t="s">
        <v>202</v>
      </c>
      <c r="B1125">
        <v>372</v>
      </c>
      <c r="C1125">
        <v>59</v>
      </c>
      <c r="D1125">
        <v>3</v>
      </c>
      <c r="E1125" t="s">
        <v>8</v>
      </c>
      <c r="F1125" t="s">
        <v>18</v>
      </c>
      <c r="G1125" t="s">
        <v>28</v>
      </c>
    </row>
    <row r="1126" spans="1:7" x14ac:dyDescent="0.25">
      <c r="A1126" t="s">
        <v>171</v>
      </c>
      <c r="B1126">
        <v>61</v>
      </c>
      <c r="C1126">
        <v>30</v>
      </c>
      <c r="D1126">
        <v>2</v>
      </c>
      <c r="E1126" t="s">
        <v>23</v>
      </c>
      <c r="F1126" t="s">
        <v>30</v>
      </c>
      <c r="G1126" t="s">
        <v>28</v>
      </c>
    </row>
    <row r="1127" spans="1:7" x14ac:dyDescent="0.25">
      <c r="A1127" t="s">
        <v>107</v>
      </c>
      <c r="B1127">
        <v>42</v>
      </c>
      <c r="C1127">
        <v>12</v>
      </c>
      <c r="D1127">
        <v>5</v>
      </c>
      <c r="E1127" t="s">
        <v>23</v>
      </c>
      <c r="F1127" t="s">
        <v>30</v>
      </c>
      <c r="G1127" t="s">
        <v>10</v>
      </c>
    </row>
    <row r="1128" spans="1:7" x14ac:dyDescent="0.25">
      <c r="A1128" t="s">
        <v>229</v>
      </c>
      <c r="B1128">
        <v>42</v>
      </c>
      <c r="C1128">
        <v>-26</v>
      </c>
      <c r="D1128">
        <v>2</v>
      </c>
      <c r="E1128" t="s">
        <v>23</v>
      </c>
      <c r="F1128" t="s">
        <v>32</v>
      </c>
      <c r="G1128" t="s">
        <v>10</v>
      </c>
    </row>
    <row r="1129" spans="1:7" x14ac:dyDescent="0.25">
      <c r="A1129" t="s">
        <v>483</v>
      </c>
      <c r="B1129">
        <v>61</v>
      </c>
      <c r="C1129">
        <v>25</v>
      </c>
      <c r="D1129">
        <v>4</v>
      </c>
      <c r="E1129" t="s">
        <v>23</v>
      </c>
      <c r="F1129" t="s">
        <v>26</v>
      </c>
      <c r="G1129" t="s">
        <v>28</v>
      </c>
    </row>
    <row r="1130" spans="1:7" x14ac:dyDescent="0.25">
      <c r="A1130" t="s">
        <v>50</v>
      </c>
      <c r="B1130">
        <v>41</v>
      </c>
      <c r="C1130">
        <v>11</v>
      </c>
      <c r="D1130">
        <v>6</v>
      </c>
      <c r="E1130" t="s">
        <v>23</v>
      </c>
      <c r="F1130" t="s">
        <v>30</v>
      </c>
      <c r="G1130" t="s">
        <v>10</v>
      </c>
    </row>
    <row r="1131" spans="1:7" x14ac:dyDescent="0.25">
      <c r="A1131" t="s">
        <v>165</v>
      </c>
      <c r="B1131">
        <v>40</v>
      </c>
      <c r="C1131">
        <v>13</v>
      </c>
      <c r="D1131">
        <v>3</v>
      </c>
      <c r="E1131" t="s">
        <v>23</v>
      </c>
      <c r="F1131" t="s">
        <v>81</v>
      </c>
      <c r="G1131" t="s">
        <v>10</v>
      </c>
    </row>
    <row r="1132" spans="1:7" x14ac:dyDescent="0.25">
      <c r="A1132" t="s">
        <v>145</v>
      </c>
      <c r="B1132">
        <v>59</v>
      </c>
      <c r="C1132">
        <v>21</v>
      </c>
      <c r="D1132">
        <v>2</v>
      </c>
      <c r="E1132" t="s">
        <v>23</v>
      </c>
      <c r="F1132" t="s">
        <v>57</v>
      </c>
      <c r="G1132" t="s">
        <v>28</v>
      </c>
    </row>
    <row r="1133" spans="1:7" x14ac:dyDescent="0.25">
      <c r="A1133" t="s">
        <v>300</v>
      </c>
      <c r="B1133">
        <v>57</v>
      </c>
      <c r="C1133">
        <v>27</v>
      </c>
      <c r="D1133">
        <v>2</v>
      </c>
      <c r="E1133" t="s">
        <v>23</v>
      </c>
      <c r="F1133" t="s">
        <v>142</v>
      </c>
      <c r="G1133" t="s">
        <v>28</v>
      </c>
    </row>
    <row r="1134" spans="1:7" x14ac:dyDescent="0.25">
      <c r="A1134" t="s">
        <v>27</v>
      </c>
      <c r="B1134">
        <v>17</v>
      </c>
      <c r="C1134">
        <v>6</v>
      </c>
      <c r="D1134">
        <v>1</v>
      </c>
      <c r="E1134" t="s">
        <v>23</v>
      </c>
      <c r="F1134" t="s">
        <v>57</v>
      </c>
      <c r="G1134" t="s">
        <v>28</v>
      </c>
    </row>
    <row r="1135" spans="1:7" x14ac:dyDescent="0.25">
      <c r="A1135" t="s">
        <v>194</v>
      </c>
      <c r="B1135">
        <v>40</v>
      </c>
      <c r="C1135">
        <v>10</v>
      </c>
      <c r="D1135">
        <v>2</v>
      </c>
      <c r="E1135" t="s">
        <v>23</v>
      </c>
      <c r="F1135" t="s">
        <v>57</v>
      </c>
      <c r="G1135" t="s">
        <v>10</v>
      </c>
    </row>
    <row r="1136" spans="1:7" x14ac:dyDescent="0.25">
      <c r="A1136" t="s">
        <v>341</v>
      </c>
      <c r="B1136">
        <v>349</v>
      </c>
      <c r="C1136">
        <v>-24</v>
      </c>
      <c r="D1136">
        <v>2</v>
      </c>
      <c r="E1136" t="s">
        <v>23</v>
      </c>
      <c r="F1136" t="s">
        <v>26</v>
      </c>
      <c r="G1136" t="s">
        <v>82</v>
      </c>
    </row>
    <row r="1137" spans="1:7" x14ac:dyDescent="0.25">
      <c r="A1137" t="s">
        <v>484</v>
      </c>
      <c r="B1137">
        <v>335</v>
      </c>
      <c r="C1137">
        <v>-22</v>
      </c>
      <c r="D1137">
        <v>7</v>
      </c>
      <c r="E1137" t="s">
        <v>12</v>
      </c>
      <c r="F1137" t="s">
        <v>13</v>
      </c>
      <c r="G1137" t="s">
        <v>28</v>
      </c>
    </row>
    <row r="1138" spans="1:7" x14ac:dyDescent="0.25">
      <c r="A1138" t="s">
        <v>234</v>
      </c>
      <c r="B1138">
        <v>40</v>
      </c>
      <c r="C1138">
        <v>16</v>
      </c>
      <c r="D1138">
        <v>3</v>
      </c>
      <c r="E1138" t="s">
        <v>23</v>
      </c>
      <c r="F1138" t="s">
        <v>30</v>
      </c>
      <c r="G1138" t="s">
        <v>10</v>
      </c>
    </row>
    <row r="1139" spans="1:7" x14ac:dyDescent="0.25">
      <c r="A1139" t="s">
        <v>83</v>
      </c>
      <c r="B1139">
        <v>40</v>
      </c>
      <c r="C1139">
        <v>17</v>
      </c>
      <c r="D1139">
        <v>2</v>
      </c>
      <c r="E1139" t="s">
        <v>23</v>
      </c>
      <c r="F1139" t="s">
        <v>57</v>
      </c>
      <c r="G1139" t="s">
        <v>10</v>
      </c>
    </row>
    <row r="1140" spans="1:7" x14ac:dyDescent="0.25">
      <c r="A1140" t="s">
        <v>229</v>
      </c>
      <c r="B1140">
        <v>40</v>
      </c>
      <c r="C1140">
        <v>-7</v>
      </c>
      <c r="D1140">
        <v>3</v>
      </c>
      <c r="E1140" t="s">
        <v>23</v>
      </c>
      <c r="F1140" t="s">
        <v>57</v>
      </c>
      <c r="G1140" t="s">
        <v>10</v>
      </c>
    </row>
    <row r="1141" spans="1:7" x14ac:dyDescent="0.25">
      <c r="A1141" t="s">
        <v>292</v>
      </c>
      <c r="B1141">
        <v>352</v>
      </c>
      <c r="C1141">
        <v>74</v>
      </c>
      <c r="D1141">
        <v>8</v>
      </c>
      <c r="E1141" t="s">
        <v>23</v>
      </c>
      <c r="F1141" t="s">
        <v>57</v>
      </c>
      <c r="G1141" t="s">
        <v>82</v>
      </c>
    </row>
    <row r="1142" spans="1:7" x14ac:dyDescent="0.25">
      <c r="A1142" t="s">
        <v>218</v>
      </c>
      <c r="B1142">
        <v>55</v>
      </c>
      <c r="C1142">
        <v>-26</v>
      </c>
      <c r="D1142">
        <v>4</v>
      </c>
      <c r="E1142" t="s">
        <v>23</v>
      </c>
      <c r="F1142" t="s">
        <v>26</v>
      </c>
      <c r="G1142" t="s">
        <v>28</v>
      </c>
    </row>
    <row r="1143" spans="1:7" x14ac:dyDescent="0.25">
      <c r="A1143" t="s">
        <v>133</v>
      </c>
      <c r="B1143">
        <v>352</v>
      </c>
      <c r="C1143">
        <v>18</v>
      </c>
      <c r="D1143">
        <v>5</v>
      </c>
      <c r="E1143" t="s">
        <v>23</v>
      </c>
      <c r="F1143" t="s">
        <v>24</v>
      </c>
      <c r="G1143" t="s">
        <v>82</v>
      </c>
    </row>
    <row r="1144" spans="1:7" x14ac:dyDescent="0.25">
      <c r="A1144" t="s">
        <v>62</v>
      </c>
      <c r="B1144">
        <v>53</v>
      </c>
      <c r="C1144">
        <v>-18</v>
      </c>
      <c r="D1144">
        <v>4</v>
      </c>
      <c r="E1144" t="s">
        <v>23</v>
      </c>
      <c r="F1144" t="s">
        <v>81</v>
      </c>
      <c r="G1144" t="s">
        <v>28</v>
      </c>
    </row>
    <row r="1145" spans="1:7" x14ac:dyDescent="0.25">
      <c r="A1145" t="s">
        <v>461</v>
      </c>
      <c r="B1145">
        <v>51</v>
      </c>
      <c r="C1145">
        <v>7</v>
      </c>
      <c r="D1145">
        <v>2</v>
      </c>
      <c r="E1145" t="s">
        <v>12</v>
      </c>
      <c r="F1145" t="s">
        <v>131</v>
      </c>
      <c r="G1145" t="s">
        <v>28</v>
      </c>
    </row>
    <row r="1146" spans="1:7" x14ac:dyDescent="0.25">
      <c r="A1146" t="s">
        <v>438</v>
      </c>
      <c r="B1146">
        <v>40</v>
      </c>
      <c r="C1146">
        <v>-37</v>
      </c>
      <c r="D1146">
        <v>3</v>
      </c>
      <c r="E1146" t="s">
        <v>23</v>
      </c>
      <c r="F1146" t="s">
        <v>57</v>
      </c>
      <c r="G1146" t="s">
        <v>10</v>
      </c>
    </row>
    <row r="1147" spans="1:7" x14ac:dyDescent="0.25">
      <c r="A1147" t="s">
        <v>225</v>
      </c>
      <c r="B1147">
        <v>39</v>
      </c>
      <c r="C1147">
        <v>14</v>
      </c>
      <c r="D1147">
        <v>5</v>
      </c>
      <c r="E1147" t="s">
        <v>23</v>
      </c>
      <c r="F1147" t="s">
        <v>63</v>
      </c>
      <c r="G1147" t="s">
        <v>10</v>
      </c>
    </row>
    <row r="1148" spans="1:7" x14ac:dyDescent="0.25">
      <c r="A1148" t="s">
        <v>485</v>
      </c>
      <c r="B1148">
        <v>355</v>
      </c>
      <c r="C1148">
        <v>-4</v>
      </c>
      <c r="D1148">
        <v>2</v>
      </c>
      <c r="E1148" t="s">
        <v>23</v>
      </c>
      <c r="F1148" t="s">
        <v>26</v>
      </c>
      <c r="G1148" t="s">
        <v>82</v>
      </c>
    </row>
    <row r="1149" spans="1:7" x14ac:dyDescent="0.25">
      <c r="A1149" t="s">
        <v>27</v>
      </c>
      <c r="B1149">
        <v>357</v>
      </c>
      <c r="C1149">
        <v>139</v>
      </c>
      <c r="D1149">
        <v>2</v>
      </c>
      <c r="E1149" t="s">
        <v>23</v>
      </c>
      <c r="F1149" t="s">
        <v>26</v>
      </c>
      <c r="G1149" t="s">
        <v>82</v>
      </c>
    </row>
    <row r="1150" spans="1:7" x14ac:dyDescent="0.25">
      <c r="A1150" t="s">
        <v>149</v>
      </c>
      <c r="B1150">
        <v>38</v>
      </c>
      <c r="C1150">
        <v>18</v>
      </c>
      <c r="D1150">
        <v>1</v>
      </c>
      <c r="E1150" t="s">
        <v>23</v>
      </c>
      <c r="F1150" t="s">
        <v>32</v>
      </c>
      <c r="G1150" t="s">
        <v>10</v>
      </c>
    </row>
    <row r="1151" spans="1:7" x14ac:dyDescent="0.25">
      <c r="A1151" t="s">
        <v>230</v>
      </c>
      <c r="B1151">
        <v>38</v>
      </c>
      <c r="C1151">
        <v>9</v>
      </c>
      <c r="D1151">
        <v>2</v>
      </c>
      <c r="E1151" t="s">
        <v>23</v>
      </c>
      <c r="F1151" t="s">
        <v>57</v>
      </c>
      <c r="G1151" t="s">
        <v>10</v>
      </c>
    </row>
    <row r="1152" spans="1:7" x14ac:dyDescent="0.25">
      <c r="A1152" t="s">
        <v>326</v>
      </c>
      <c r="B1152">
        <v>141</v>
      </c>
      <c r="C1152">
        <v>10</v>
      </c>
      <c r="D1152">
        <v>4</v>
      </c>
      <c r="E1152" t="s">
        <v>23</v>
      </c>
      <c r="F1152" t="s">
        <v>142</v>
      </c>
      <c r="G1152" t="s">
        <v>28</v>
      </c>
    </row>
    <row r="1153" spans="1:7" x14ac:dyDescent="0.25">
      <c r="A1153" t="s">
        <v>424</v>
      </c>
      <c r="B1153">
        <v>36</v>
      </c>
      <c r="C1153">
        <v>4</v>
      </c>
      <c r="D1153">
        <v>9</v>
      </c>
      <c r="E1153" t="s">
        <v>23</v>
      </c>
      <c r="F1153" t="s">
        <v>30</v>
      </c>
      <c r="G1153" t="s">
        <v>10</v>
      </c>
    </row>
    <row r="1154" spans="1:7" x14ac:dyDescent="0.25">
      <c r="A1154" t="s">
        <v>165</v>
      </c>
      <c r="B1154">
        <v>351</v>
      </c>
      <c r="C1154">
        <v>-94</v>
      </c>
      <c r="D1154">
        <v>5</v>
      </c>
      <c r="E1154" t="s">
        <v>8</v>
      </c>
      <c r="F1154" t="s">
        <v>9</v>
      </c>
      <c r="G1154" t="s">
        <v>10</v>
      </c>
    </row>
    <row r="1155" spans="1:7" x14ac:dyDescent="0.25">
      <c r="A1155" t="s">
        <v>231</v>
      </c>
      <c r="B1155">
        <v>369</v>
      </c>
      <c r="C1155">
        <v>15</v>
      </c>
      <c r="D1155">
        <v>3</v>
      </c>
      <c r="E1155" t="s">
        <v>8</v>
      </c>
      <c r="F1155" t="s">
        <v>9</v>
      </c>
      <c r="G1155" t="s">
        <v>82</v>
      </c>
    </row>
    <row r="1156" spans="1:7" x14ac:dyDescent="0.25">
      <c r="A1156" t="s">
        <v>31</v>
      </c>
      <c r="B1156">
        <v>53</v>
      </c>
      <c r="C1156">
        <v>24</v>
      </c>
      <c r="D1156">
        <v>6</v>
      </c>
      <c r="E1156" t="s">
        <v>23</v>
      </c>
      <c r="F1156" t="s">
        <v>30</v>
      </c>
      <c r="G1156" t="s">
        <v>14</v>
      </c>
    </row>
    <row r="1157" spans="1:7" x14ac:dyDescent="0.25">
      <c r="A1157" t="s">
        <v>486</v>
      </c>
      <c r="B1157">
        <v>371</v>
      </c>
      <c r="C1157">
        <v>115</v>
      </c>
      <c r="D1157">
        <v>1</v>
      </c>
      <c r="E1157" t="s">
        <v>12</v>
      </c>
      <c r="F1157" t="s">
        <v>16</v>
      </c>
      <c r="G1157" t="s">
        <v>82</v>
      </c>
    </row>
    <row r="1158" spans="1:7" x14ac:dyDescent="0.25">
      <c r="A1158" t="s">
        <v>115</v>
      </c>
      <c r="B1158">
        <v>499</v>
      </c>
      <c r="C1158">
        <v>33</v>
      </c>
      <c r="D1158">
        <v>4</v>
      </c>
      <c r="E1158" t="s">
        <v>23</v>
      </c>
      <c r="F1158" t="s">
        <v>26</v>
      </c>
      <c r="G1158" t="s">
        <v>10</v>
      </c>
    </row>
    <row r="1159" spans="1:7" x14ac:dyDescent="0.25">
      <c r="A1159" t="s">
        <v>202</v>
      </c>
      <c r="B1159">
        <v>223</v>
      </c>
      <c r="C1159">
        <v>62</v>
      </c>
      <c r="D1159">
        <v>7</v>
      </c>
      <c r="E1159" t="s">
        <v>23</v>
      </c>
      <c r="F1159" t="s">
        <v>142</v>
      </c>
      <c r="G1159" t="s">
        <v>10</v>
      </c>
    </row>
    <row r="1160" spans="1:7" x14ac:dyDescent="0.25">
      <c r="A1160" t="s">
        <v>223</v>
      </c>
      <c r="B1160">
        <v>50</v>
      </c>
      <c r="C1160">
        <v>-4</v>
      </c>
      <c r="D1160">
        <v>6</v>
      </c>
      <c r="E1160" t="s">
        <v>23</v>
      </c>
      <c r="F1160" t="s">
        <v>81</v>
      </c>
      <c r="G1160" t="s">
        <v>14</v>
      </c>
    </row>
    <row r="1161" spans="1:7" x14ac:dyDescent="0.25">
      <c r="A1161" t="s">
        <v>211</v>
      </c>
      <c r="B1161">
        <v>391</v>
      </c>
      <c r="C1161">
        <v>90</v>
      </c>
      <c r="D1161">
        <v>6</v>
      </c>
      <c r="E1161" t="s">
        <v>8</v>
      </c>
      <c r="F1161" t="s">
        <v>21</v>
      </c>
      <c r="G1161" t="s">
        <v>82</v>
      </c>
    </row>
    <row r="1162" spans="1:7" x14ac:dyDescent="0.25">
      <c r="A1162" t="s">
        <v>487</v>
      </c>
      <c r="B1162">
        <v>416</v>
      </c>
      <c r="C1162">
        <v>137</v>
      </c>
      <c r="D1162">
        <v>3</v>
      </c>
      <c r="E1162" t="s">
        <v>8</v>
      </c>
      <c r="F1162" t="s">
        <v>21</v>
      </c>
      <c r="G1162" t="s">
        <v>82</v>
      </c>
    </row>
    <row r="1163" spans="1:7" x14ac:dyDescent="0.25">
      <c r="A1163" t="s">
        <v>469</v>
      </c>
      <c r="B1163">
        <v>424</v>
      </c>
      <c r="C1163">
        <v>-17</v>
      </c>
      <c r="D1163">
        <v>9</v>
      </c>
      <c r="E1163" t="s">
        <v>12</v>
      </c>
      <c r="F1163" t="s">
        <v>13</v>
      </c>
      <c r="G1163" t="s">
        <v>82</v>
      </c>
    </row>
    <row r="1164" spans="1:7" x14ac:dyDescent="0.25">
      <c r="A1164" t="s">
        <v>65</v>
      </c>
      <c r="B1164">
        <v>362</v>
      </c>
      <c r="C1164">
        <v>127</v>
      </c>
      <c r="D1164">
        <v>1</v>
      </c>
      <c r="E1164" t="s">
        <v>12</v>
      </c>
      <c r="F1164" t="s">
        <v>16</v>
      </c>
      <c r="G1164" t="s">
        <v>10</v>
      </c>
    </row>
    <row r="1165" spans="1:7" x14ac:dyDescent="0.25">
      <c r="A1165" t="s">
        <v>29</v>
      </c>
      <c r="B1165">
        <v>36</v>
      </c>
      <c r="C1165">
        <v>-7</v>
      </c>
      <c r="D1165">
        <v>1</v>
      </c>
      <c r="E1165" t="s">
        <v>8</v>
      </c>
      <c r="F1165" t="s">
        <v>9</v>
      </c>
      <c r="G1165" t="s">
        <v>10</v>
      </c>
    </row>
    <row r="1166" spans="1:7" x14ac:dyDescent="0.25">
      <c r="A1166" t="s">
        <v>209</v>
      </c>
      <c r="B1166">
        <v>34</v>
      </c>
      <c r="C1166">
        <v>-10</v>
      </c>
      <c r="D1166">
        <v>3</v>
      </c>
      <c r="E1166" t="s">
        <v>23</v>
      </c>
      <c r="F1166" t="s">
        <v>43</v>
      </c>
      <c r="G1166" t="s">
        <v>10</v>
      </c>
    </row>
    <row r="1167" spans="1:7" x14ac:dyDescent="0.25">
      <c r="A1167" t="s">
        <v>186</v>
      </c>
      <c r="B1167">
        <v>367</v>
      </c>
      <c r="C1167">
        <v>73</v>
      </c>
      <c r="D1167">
        <v>3</v>
      </c>
      <c r="E1167" t="s">
        <v>8</v>
      </c>
      <c r="F1167" t="s">
        <v>9</v>
      </c>
      <c r="G1167" t="s">
        <v>28</v>
      </c>
    </row>
    <row r="1168" spans="1:7" x14ac:dyDescent="0.25">
      <c r="A1168" t="s">
        <v>167</v>
      </c>
      <c r="B1168">
        <v>425</v>
      </c>
      <c r="C1168">
        <v>208</v>
      </c>
      <c r="D1168">
        <v>7</v>
      </c>
      <c r="E1168" t="s">
        <v>23</v>
      </c>
      <c r="F1168" t="s">
        <v>26</v>
      </c>
      <c r="G1168" t="s">
        <v>82</v>
      </c>
    </row>
    <row r="1169" spans="1:7" x14ac:dyDescent="0.25">
      <c r="A1169" t="s">
        <v>400</v>
      </c>
      <c r="B1169">
        <v>433</v>
      </c>
      <c r="C1169">
        <v>26</v>
      </c>
      <c r="D1169">
        <v>3</v>
      </c>
      <c r="E1169" t="s">
        <v>8</v>
      </c>
      <c r="F1169" t="s">
        <v>18</v>
      </c>
      <c r="G1169" t="s">
        <v>82</v>
      </c>
    </row>
    <row r="1170" spans="1:7" x14ac:dyDescent="0.25">
      <c r="A1170" t="s">
        <v>486</v>
      </c>
      <c r="B1170">
        <v>460</v>
      </c>
      <c r="C1170">
        <v>31</v>
      </c>
      <c r="D1170">
        <v>3</v>
      </c>
      <c r="E1170" t="s">
        <v>12</v>
      </c>
      <c r="F1170" t="s">
        <v>16</v>
      </c>
      <c r="G1170" t="s">
        <v>82</v>
      </c>
    </row>
    <row r="1171" spans="1:7" x14ac:dyDescent="0.25">
      <c r="A1171" t="s">
        <v>288</v>
      </c>
      <c r="B1171">
        <v>62</v>
      </c>
      <c r="C1171">
        <v>-56</v>
      </c>
      <c r="D1171">
        <v>5</v>
      </c>
      <c r="E1171" t="s">
        <v>23</v>
      </c>
      <c r="F1171" t="s">
        <v>32</v>
      </c>
      <c r="G1171" t="s">
        <v>10</v>
      </c>
    </row>
    <row r="1172" spans="1:7" x14ac:dyDescent="0.25">
      <c r="A1172" t="s">
        <v>113</v>
      </c>
      <c r="B1172">
        <v>50</v>
      </c>
      <c r="C1172">
        <v>16</v>
      </c>
      <c r="D1172">
        <v>1</v>
      </c>
      <c r="E1172" t="s">
        <v>23</v>
      </c>
      <c r="F1172" t="s">
        <v>57</v>
      </c>
      <c r="G1172" t="s">
        <v>14</v>
      </c>
    </row>
    <row r="1173" spans="1:7" x14ac:dyDescent="0.25">
      <c r="A1173" t="s">
        <v>401</v>
      </c>
      <c r="B1173">
        <v>460</v>
      </c>
      <c r="C1173">
        <v>-143</v>
      </c>
      <c r="D1173">
        <v>3</v>
      </c>
      <c r="E1173" t="s">
        <v>12</v>
      </c>
      <c r="F1173" t="s">
        <v>13</v>
      </c>
      <c r="G1173" t="s">
        <v>82</v>
      </c>
    </row>
    <row r="1174" spans="1:7" x14ac:dyDescent="0.25">
      <c r="A1174" t="s">
        <v>297</v>
      </c>
      <c r="B1174">
        <v>34</v>
      </c>
      <c r="C1174">
        <v>3</v>
      </c>
      <c r="D1174">
        <v>3</v>
      </c>
      <c r="E1174" t="s">
        <v>23</v>
      </c>
      <c r="F1174" t="s">
        <v>26</v>
      </c>
      <c r="G1174" t="s">
        <v>10</v>
      </c>
    </row>
    <row r="1175" spans="1:7" x14ac:dyDescent="0.25">
      <c r="A1175" t="s">
        <v>291</v>
      </c>
      <c r="B1175">
        <v>227</v>
      </c>
      <c r="C1175">
        <v>59</v>
      </c>
      <c r="D1175">
        <v>2</v>
      </c>
      <c r="E1175" t="s">
        <v>12</v>
      </c>
      <c r="F1175" t="s">
        <v>131</v>
      </c>
      <c r="G1175" t="s">
        <v>28</v>
      </c>
    </row>
    <row r="1176" spans="1:7" x14ac:dyDescent="0.25">
      <c r="A1176" t="s">
        <v>408</v>
      </c>
      <c r="B1176">
        <v>469</v>
      </c>
      <c r="C1176">
        <v>33</v>
      </c>
      <c r="D1176">
        <v>4</v>
      </c>
      <c r="E1176" t="s">
        <v>8</v>
      </c>
      <c r="F1176" t="s">
        <v>9</v>
      </c>
      <c r="G1176" t="s">
        <v>82</v>
      </c>
    </row>
    <row r="1177" spans="1:7" x14ac:dyDescent="0.25">
      <c r="A1177" t="s">
        <v>31</v>
      </c>
      <c r="B1177">
        <v>103</v>
      </c>
      <c r="C1177">
        <v>46</v>
      </c>
      <c r="D1177">
        <v>2</v>
      </c>
      <c r="E1177" t="s">
        <v>23</v>
      </c>
      <c r="F1177" t="s">
        <v>26</v>
      </c>
      <c r="G1177" t="s">
        <v>28</v>
      </c>
    </row>
    <row r="1178" spans="1:7" x14ac:dyDescent="0.25">
      <c r="A1178" t="s">
        <v>279</v>
      </c>
      <c r="B1178">
        <v>34</v>
      </c>
      <c r="C1178">
        <v>-13</v>
      </c>
      <c r="D1178">
        <v>5</v>
      </c>
      <c r="E1178" t="s">
        <v>23</v>
      </c>
      <c r="F1178" t="s">
        <v>63</v>
      </c>
      <c r="G1178" t="s">
        <v>10</v>
      </c>
    </row>
    <row r="1179" spans="1:7" x14ac:dyDescent="0.25">
      <c r="A1179" t="s">
        <v>174</v>
      </c>
      <c r="B1179">
        <v>137</v>
      </c>
      <c r="C1179">
        <v>63</v>
      </c>
      <c r="D1179">
        <v>3</v>
      </c>
      <c r="E1179" t="s">
        <v>23</v>
      </c>
      <c r="F1179" t="s">
        <v>57</v>
      </c>
      <c r="G1179" t="s">
        <v>10</v>
      </c>
    </row>
    <row r="1180" spans="1:7" x14ac:dyDescent="0.25">
      <c r="A1180" t="s">
        <v>488</v>
      </c>
      <c r="B1180">
        <v>34</v>
      </c>
      <c r="C1180">
        <v>12</v>
      </c>
      <c r="D1180">
        <v>2</v>
      </c>
      <c r="E1180" t="s">
        <v>23</v>
      </c>
      <c r="F1180" t="s">
        <v>57</v>
      </c>
      <c r="G1180" t="s">
        <v>10</v>
      </c>
    </row>
    <row r="1181" spans="1:7" x14ac:dyDescent="0.25">
      <c r="A1181" t="s">
        <v>394</v>
      </c>
      <c r="B1181">
        <v>474</v>
      </c>
      <c r="C1181">
        <v>56</v>
      </c>
      <c r="D1181">
        <v>4</v>
      </c>
      <c r="E1181" t="s">
        <v>8</v>
      </c>
      <c r="F1181" t="s">
        <v>21</v>
      </c>
      <c r="G1181" t="s">
        <v>82</v>
      </c>
    </row>
    <row r="1182" spans="1:7" x14ac:dyDescent="0.25">
      <c r="A1182" t="s">
        <v>271</v>
      </c>
      <c r="B1182">
        <v>50</v>
      </c>
      <c r="C1182">
        <v>3</v>
      </c>
      <c r="D1182">
        <v>2</v>
      </c>
      <c r="E1182" t="s">
        <v>23</v>
      </c>
      <c r="F1182" t="s">
        <v>57</v>
      </c>
      <c r="G1182" t="s">
        <v>14</v>
      </c>
    </row>
    <row r="1183" spans="1:7" x14ac:dyDescent="0.25">
      <c r="A1183" t="s">
        <v>97</v>
      </c>
      <c r="B1183">
        <v>69</v>
      </c>
      <c r="C1183">
        <v>-67</v>
      </c>
      <c r="D1183">
        <v>4</v>
      </c>
      <c r="E1183" t="s">
        <v>23</v>
      </c>
      <c r="F1183" t="s">
        <v>32</v>
      </c>
      <c r="G1183" t="s">
        <v>28</v>
      </c>
    </row>
    <row r="1184" spans="1:7" x14ac:dyDescent="0.25">
      <c r="A1184" t="s">
        <v>489</v>
      </c>
      <c r="B1184">
        <v>389</v>
      </c>
      <c r="C1184">
        <v>-83</v>
      </c>
      <c r="D1184">
        <v>3</v>
      </c>
      <c r="E1184" t="s">
        <v>12</v>
      </c>
      <c r="F1184" t="s">
        <v>13</v>
      </c>
      <c r="G1184" t="s">
        <v>28</v>
      </c>
    </row>
    <row r="1185" spans="1:7" x14ac:dyDescent="0.25">
      <c r="A1185" t="s">
        <v>288</v>
      </c>
      <c r="B1185">
        <v>77</v>
      </c>
      <c r="C1185">
        <v>-43</v>
      </c>
      <c r="D1185">
        <v>8</v>
      </c>
      <c r="E1185" t="s">
        <v>23</v>
      </c>
      <c r="F1185" t="s">
        <v>57</v>
      </c>
      <c r="G1185" t="s">
        <v>10</v>
      </c>
    </row>
    <row r="1186" spans="1:7" x14ac:dyDescent="0.25">
      <c r="A1186" t="s">
        <v>27</v>
      </c>
      <c r="B1186">
        <v>51</v>
      </c>
      <c r="C1186">
        <v>21</v>
      </c>
      <c r="D1186">
        <v>3</v>
      </c>
      <c r="E1186" t="s">
        <v>23</v>
      </c>
      <c r="F1186" t="s">
        <v>81</v>
      </c>
      <c r="G1186" t="s">
        <v>10</v>
      </c>
    </row>
    <row r="1187" spans="1:7" x14ac:dyDescent="0.25">
      <c r="A1187" t="s">
        <v>146</v>
      </c>
      <c r="B1187">
        <v>394</v>
      </c>
      <c r="C1187">
        <v>146</v>
      </c>
      <c r="D1187">
        <v>2</v>
      </c>
      <c r="E1187" t="s">
        <v>12</v>
      </c>
      <c r="F1187" t="s">
        <v>16</v>
      </c>
      <c r="G1187" t="s">
        <v>28</v>
      </c>
    </row>
    <row r="1188" spans="1:7" x14ac:dyDescent="0.25">
      <c r="A1188" t="s">
        <v>284</v>
      </c>
      <c r="B1188">
        <v>48</v>
      </c>
      <c r="C1188">
        <v>-22</v>
      </c>
      <c r="D1188">
        <v>2</v>
      </c>
      <c r="E1188" t="s">
        <v>23</v>
      </c>
      <c r="F1188" t="s">
        <v>26</v>
      </c>
      <c r="G1188" t="s">
        <v>14</v>
      </c>
    </row>
    <row r="1189" spans="1:7" x14ac:dyDescent="0.25">
      <c r="A1189" t="s">
        <v>209</v>
      </c>
      <c r="B1189">
        <v>34</v>
      </c>
      <c r="C1189">
        <v>-12</v>
      </c>
      <c r="D1189">
        <v>5</v>
      </c>
      <c r="E1189" t="s">
        <v>23</v>
      </c>
      <c r="F1189" t="s">
        <v>63</v>
      </c>
      <c r="G1189" t="s">
        <v>10</v>
      </c>
    </row>
    <row r="1190" spans="1:7" x14ac:dyDescent="0.25">
      <c r="A1190" t="s">
        <v>35</v>
      </c>
      <c r="B1190">
        <v>484</v>
      </c>
      <c r="C1190">
        <v>28</v>
      </c>
      <c r="D1190">
        <v>3</v>
      </c>
      <c r="E1190" t="s">
        <v>8</v>
      </c>
      <c r="F1190" t="s">
        <v>18</v>
      </c>
      <c r="G1190" t="s">
        <v>82</v>
      </c>
    </row>
    <row r="1191" spans="1:7" x14ac:dyDescent="0.25">
      <c r="A1191" t="s">
        <v>272</v>
      </c>
      <c r="B1191">
        <v>47</v>
      </c>
      <c r="C1191">
        <v>-27</v>
      </c>
      <c r="D1191">
        <v>4</v>
      </c>
      <c r="E1191" t="s">
        <v>23</v>
      </c>
      <c r="F1191" t="s">
        <v>26</v>
      </c>
      <c r="G1191" t="s">
        <v>14</v>
      </c>
    </row>
    <row r="1192" spans="1:7" x14ac:dyDescent="0.25">
      <c r="A1192" t="s">
        <v>15</v>
      </c>
      <c r="B1192">
        <v>45</v>
      </c>
      <c r="C1192">
        <v>8</v>
      </c>
      <c r="D1192">
        <v>4</v>
      </c>
      <c r="E1192" t="s">
        <v>23</v>
      </c>
      <c r="F1192" t="s">
        <v>43</v>
      </c>
      <c r="G1192" t="s">
        <v>14</v>
      </c>
    </row>
    <row r="1193" spans="1:7" x14ac:dyDescent="0.25">
      <c r="A1193" t="s">
        <v>490</v>
      </c>
      <c r="B1193">
        <v>128</v>
      </c>
      <c r="C1193">
        <v>55</v>
      </c>
      <c r="D1193">
        <v>1</v>
      </c>
      <c r="E1193" t="s">
        <v>23</v>
      </c>
      <c r="F1193" t="s">
        <v>26</v>
      </c>
      <c r="G1193" t="s">
        <v>10</v>
      </c>
    </row>
    <row r="1194" spans="1:7" x14ac:dyDescent="0.25">
      <c r="A1194" t="s">
        <v>88</v>
      </c>
      <c r="B1194">
        <v>669</v>
      </c>
      <c r="C1194">
        <v>74</v>
      </c>
      <c r="D1194">
        <v>5</v>
      </c>
      <c r="E1194" t="s">
        <v>12</v>
      </c>
      <c r="F1194" t="s">
        <v>16</v>
      </c>
      <c r="G1194" t="s">
        <v>10</v>
      </c>
    </row>
    <row r="1195" spans="1:7" x14ac:dyDescent="0.25">
      <c r="A1195" t="s">
        <v>491</v>
      </c>
      <c r="B1195">
        <v>34</v>
      </c>
      <c r="C1195">
        <v>13</v>
      </c>
      <c r="D1195">
        <v>2</v>
      </c>
      <c r="E1195" t="s">
        <v>23</v>
      </c>
      <c r="F1195" t="s">
        <v>26</v>
      </c>
      <c r="G1195" t="s">
        <v>10</v>
      </c>
    </row>
    <row r="1196" spans="1:7" x14ac:dyDescent="0.25">
      <c r="A1196" t="s">
        <v>255</v>
      </c>
      <c r="B1196">
        <v>44</v>
      </c>
      <c r="C1196">
        <v>14</v>
      </c>
      <c r="D1196">
        <v>3</v>
      </c>
      <c r="E1196" t="s">
        <v>23</v>
      </c>
      <c r="F1196" t="s">
        <v>30</v>
      </c>
      <c r="G1196" t="s">
        <v>19</v>
      </c>
    </row>
    <row r="1197" spans="1:7" x14ac:dyDescent="0.25">
      <c r="A1197" t="s">
        <v>44</v>
      </c>
      <c r="B1197">
        <v>33</v>
      </c>
      <c r="C1197">
        <v>1</v>
      </c>
      <c r="D1197">
        <v>2</v>
      </c>
      <c r="E1197" t="s">
        <v>23</v>
      </c>
      <c r="F1197" t="s">
        <v>142</v>
      </c>
      <c r="G1197" t="s">
        <v>10</v>
      </c>
    </row>
    <row r="1198" spans="1:7" x14ac:dyDescent="0.25">
      <c r="A1198" t="s">
        <v>394</v>
      </c>
      <c r="B1198">
        <v>33</v>
      </c>
      <c r="C1198">
        <v>10</v>
      </c>
      <c r="D1198">
        <v>3</v>
      </c>
      <c r="E1198" t="s">
        <v>23</v>
      </c>
      <c r="F1198" t="s">
        <v>30</v>
      </c>
      <c r="G1198" t="s">
        <v>10</v>
      </c>
    </row>
    <row r="1199" spans="1:7" x14ac:dyDescent="0.25">
      <c r="A1199" t="s">
        <v>130</v>
      </c>
      <c r="B1199">
        <v>487</v>
      </c>
      <c r="C1199">
        <v>-23</v>
      </c>
      <c r="D1199">
        <v>3</v>
      </c>
      <c r="E1199" t="s">
        <v>8</v>
      </c>
      <c r="F1199" t="s">
        <v>18</v>
      </c>
      <c r="G1199" t="s">
        <v>82</v>
      </c>
    </row>
    <row r="1200" spans="1:7" x14ac:dyDescent="0.25">
      <c r="A1200" t="s">
        <v>128</v>
      </c>
      <c r="B1200">
        <v>497</v>
      </c>
      <c r="C1200">
        <v>179</v>
      </c>
      <c r="D1200">
        <v>3</v>
      </c>
      <c r="E1200" t="s">
        <v>12</v>
      </c>
      <c r="F1200" t="s">
        <v>13</v>
      </c>
      <c r="G1200" t="s">
        <v>82</v>
      </c>
    </row>
    <row r="1201" spans="1:7" x14ac:dyDescent="0.25">
      <c r="A1201" t="s">
        <v>106</v>
      </c>
      <c r="B1201">
        <v>508</v>
      </c>
      <c r="C1201">
        <v>203</v>
      </c>
      <c r="D1201">
        <v>2</v>
      </c>
      <c r="E1201" t="s">
        <v>8</v>
      </c>
      <c r="F1201" t="s">
        <v>73</v>
      </c>
      <c r="G1201" t="s">
        <v>82</v>
      </c>
    </row>
    <row r="1202" spans="1:7" x14ac:dyDescent="0.25">
      <c r="A1202" t="s">
        <v>328</v>
      </c>
      <c r="B1202">
        <v>524</v>
      </c>
      <c r="C1202">
        <v>-25</v>
      </c>
      <c r="D1202">
        <v>2</v>
      </c>
      <c r="E1202" t="s">
        <v>8</v>
      </c>
      <c r="F1202" t="s">
        <v>9</v>
      </c>
      <c r="G1202" t="s">
        <v>82</v>
      </c>
    </row>
    <row r="1203" spans="1:7" x14ac:dyDescent="0.25">
      <c r="A1203" t="s">
        <v>492</v>
      </c>
      <c r="B1203">
        <v>425</v>
      </c>
      <c r="C1203">
        <v>183</v>
      </c>
      <c r="D1203">
        <v>5</v>
      </c>
      <c r="E1203" t="s">
        <v>8</v>
      </c>
      <c r="F1203" t="s">
        <v>73</v>
      </c>
      <c r="G1203" t="s">
        <v>28</v>
      </c>
    </row>
    <row r="1204" spans="1:7" x14ac:dyDescent="0.25">
      <c r="A1204" t="s">
        <v>71</v>
      </c>
      <c r="B1204">
        <v>168</v>
      </c>
      <c r="C1204">
        <v>56</v>
      </c>
      <c r="D1204">
        <v>3</v>
      </c>
      <c r="E1204" t="s">
        <v>23</v>
      </c>
      <c r="F1204" t="s">
        <v>26</v>
      </c>
      <c r="G1204" t="s">
        <v>10</v>
      </c>
    </row>
    <row r="1205" spans="1:7" x14ac:dyDescent="0.25">
      <c r="A1205" t="s">
        <v>493</v>
      </c>
      <c r="B1205">
        <v>141</v>
      </c>
      <c r="C1205">
        <v>28</v>
      </c>
      <c r="D1205">
        <v>7</v>
      </c>
      <c r="E1205" t="s">
        <v>12</v>
      </c>
      <c r="F1205" t="s">
        <v>131</v>
      </c>
      <c r="G1205" t="s">
        <v>28</v>
      </c>
    </row>
    <row r="1206" spans="1:7" x14ac:dyDescent="0.25">
      <c r="A1206" t="s">
        <v>157</v>
      </c>
      <c r="B1206">
        <v>429</v>
      </c>
      <c r="C1206">
        <v>17</v>
      </c>
      <c r="D1206">
        <v>3</v>
      </c>
      <c r="E1206" t="s">
        <v>12</v>
      </c>
      <c r="F1206" t="s">
        <v>13</v>
      </c>
      <c r="G1206" t="s">
        <v>28</v>
      </c>
    </row>
    <row r="1207" spans="1:7" x14ac:dyDescent="0.25">
      <c r="A1207" t="s">
        <v>252</v>
      </c>
      <c r="B1207">
        <v>44</v>
      </c>
      <c r="C1207">
        <v>-8</v>
      </c>
      <c r="D1207">
        <v>3</v>
      </c>
      <c r="E1207" t="s">
        <v>23</v>
      </c>
      <c r="F1207" t="s">
        <v>57</v>
      </c>
      <c r="G1207" t="s">
        <v>19</v>
      </c>
    </row>
    <row r="1208" spans="1:7" x14ac:dyDescent="0.25">
      <c r="A1208" t="s">
        <v>203</v>
      </c>
      <c r="B1208">
        <v>149</v>
      </c>
      <c r="C1208">
        <v>136</v>
      </c>
      <c r="D1208">
        <v>3</v>
      </c>
      <c r="E1208" t="s">
        <v>23</v>
      </c>
      <c r="F1208" t="s">
        <v>57</v>
      </c>
      <c r="G1208" t="s">
        <v>28</v>
      </c>
    </row>
    <row r="1209" spans="1:7" x14ac:dyDescent="0.25">
      <c r="A1209" t="s">
        <v>39</v>
      </c>
      <c r="B1209">
        <v>44</v>
      </c>
      <c r="C1209">
        <v>-34</v>
      </c>
      <c r="D1209">
        <v>3</v>
      </c>
      <c r="E1209" t="s">
        <v>23</v>
      </c>
      <c r="F1209" t="s">
        <v>57</v>
      </c>
      <c r="G1209" t="s">
        <v>19</v>
      </c>
    </row>
    <row r="1210" spans="1:7" x14ac:dyDescent="0.25">
      <c r="A1210" t="s">
        <v>185</v>
      </c>
      <c r="B1210">
        <v>33</v>
      </c>
      <c r="C1210">
        <v>10</v>
      </c>
      <c r="D1210">
        <v>3</v>
      </c>
      <c r="E1210" t="s">
        <v>23</v>
      </c>
      <c r="F1210" t="s">
        <v>30</v>
      </c>
      <c r="G1210" t="s">
        <v>10</v>
      </c>
    </row>
    <row r="1211" spans="1:7" x14ac:dyDescent="0.25">
      <c r="A1211" t="s">
        <v>211</v>
      </c>
      <c r="B1211">
        <v>33</v>
      </c>
      <c r="C1211">
        <v>9</v>
      </c>
      <c r="D1211">
        <v>2</v>
      </c>
      <c r="E1211" t="s">
        <v>23</v>
      </c>
      <c r="F1211" t="s">
        <v>30</v>
      </c>
      <c r="G1211" t="s">
        <v>10</v>
      </c>
    </row>
    <row r="1212" spans="1:7" x14ac:dyDescent="0.25">
      <c r="A1212" t="s">
        <v>171</v>
      </c>
      <c r="B1212">
        <v>442</v>
      </c>
      <c r="C1212">
        <v>31</v>
      </c>
      <c r="D1212">
        <v>2</v>
      </c>
      <c r="E1212" t="s">
        <v>8</v>
      </c>
      <c r="F1212" t="s">
        <v>9</v>
      </c>
      <c r="G1212" t="s">
        <v>28</v>
      </c>
    </row>
    <row r="1213" spans="1:7" x14ac:dyDescent="0.25">
      <c r="A1213" t="s">
        <v>100</v>
      </c>
      <c r="B1213">
        <v>41</v>
      </c>
      <c r="C1213">
        <v>6</v>
      </c>
      <c r="D1213">
        <v>5</v>
      </c>
      <c r="E1213" t="s">
        <v>23</v>
      </c>
      <c r="F1213" t="s">
        <v>43</v>
      </c>
      <c r="G1213" t="s">
        <v>19</v>
      </c>
    </row>
    <row r="1214" spans="1:7" x14ac:dyDescent="0.25">
      <c r="A1214" t="s">
        <v>210</v>
      </c>
      <c r="B1214">
        <v>33</v>
      </c>
      <c r="C1214">
        <v>-12</v>
      </c>
      <c r="D1214">
        <v>5</v>
      </c>
      <c r="E1214" t="s">
        <v>23</v>
      </c>
      <c r="F1214" t="s">
        <v>30</v>
      </c>
      <c r="G1214" t="s">
        <v>10</v>
      </c>
    </row>
    <row r="1215" spans="1:7" x14ac:dyDescent="0.25">
      <c r="A1215" t="s">
        <v>494</v>
      </c>
      <c r="B1215">
        <v>32</v>
      </c>
      <c r="C1215">
        <v>3</v>
      </c>
      <c r="D1215">
        <v>8</v>
      </c>
      <c r="E1215" t="s">
        <v>23</v>
      </c>
      <c r="F1215" t="s">
        <v>30</v>
      </c>
      <c r="G1215" t="s">
        <v>10</v>
      </c>
    </row>
    <row r="1216" spans="1:7" x14ac:dyDescent="0.25">
      <c r="A1216" t="s">
        <v>158</v>
      </c>
      <c r="B1216">
        <v>32</v>
      </c>
      <c r="C1216">
        <v>6</v>
      </c>
      <c r="D1216">
        <v>3</v>
      </c>
      <c r="E1216" t="s">
        <v>23</v>
      </c>
      <c r="F1216" t="s">
        <v>142</v>
      </c>
      <c r="G1216" t="s">
        <v>10</v>
      </c>
    </row>
    <row r="1217" spans="1:7" x14ac:dyDescent="0.25">
      <c r="A1217" t="s">
        <v>275</v>
      </c>
      <c r="B1217">
        <v>179</v>
      </c>
      <c r="C1217">
        <v>77</v>
      </c>
      <c r="D1217">
        <v>1</v>
      </c>
      <c r="E1217" t="s">
        <v>23</v>
      </c>
      <c r="F1217" t="s">
        <v>26</v>
      </c>
      <c r="G1217" t="s">
        <v>28</v>
      </c>
    </row>
    <row r="1218" spans="1:7" x14ac:dyDescent="0.25">
      <c r="A1218" t="s">
        <v>386</v>
      </c>
      <c r="B1218">
        <v>31</v>
      </c>
      <c r="C1218">
        <v>10</v>
      </c>
      <c r="D1218">
        <v>1</v>
      </c>
      <c r="E1218" t="s">
        <v>23</v>
      </c>
      <c r="F1218" t="s">
        <v>32</v>
      </c>
      <c r="G1218" t="s">
        <v>10</v>
      </c>
    </row>
    <row r="1219" spans="1:7" x14ac:dyDescent="0.25">
      <c r="A1219" t="s">
        <v>89</v>
      </c>
      <c r="B1219">
        <v>140</v>
      </c>
      <c r="C1219">
        <v>68</v>
      </c>
      <c r="D1219">
        <v>5</v>
      </c>
      <c r="E1219" t="s">
        <v>23</v>
      </c>
      <c r="F1219" t="s">
        <v>81</v>
      </c>
      <c r="G1219" t="s">
        <v>10</v>
      </c>
    </row>
    <row r="1220" spans="1:7" x14ac:dyDescent="0.25">
      <c r="A1220" t="s">
        <v>461</v>
      </c>
      <c r="B1220">
        <v>529</v>
      </c>
      <c r="C1220">
        <v>137</v>
      </c>
      <c r="D1220">
        <v>3</v>
      </c>
      <c r="E1220" t="s">
        <v>8</v>
      </c>
      <c r="F1220" t="s">
        <v>21</v>
      </c>
      <c r="G1220" t="s">
        <v>82</v>
      </c>
    </row>
    <row r="1221" spans="1:7" x14ac:dyDescent="0.25">
      <c r="A1221" t="s">
        <v>495</v>
      </c>
      <c r="B1221">
        <v>534</v>
      </c>
      <c r="C1221">
        <v>0</v>
      </c>
      <c r="D1221">
        <v>3</v>
      </c>
      <c r="E1221" t="s">
        <v>23</v>
      </c>
      <c r="F1221" t="s">
        <v>26</v>
      </c>
      <c r="G1221" t="s">
        <v>82</v>
      </c>
    </row>
    <row r="1222" spans="1:7" x14ac:dyDescent="0.25">
      <c r="A1222" t="s">
        <v>351</v>
      </c>
      <c r="B1222">
        <v>41</v>
      </c>
      <c r="C1222">
        <v>-6</v>
      </c>
      <c r="D1222">
        <v>1</v>
      </c>
      <c r="E1222" t="s">
        <v>12</v>
      </c>
      <c r="F1222" t="s">
        <v>13</v>
      </c>
      <c r="G1222" t="s">
        <v>19</v>
      </c>
    </row>
    <row r="1223" spans="1:7" x14ac:dyDescent="0.25">
      <c r="A1223" t="s">
        <v>208</v>
      </c>
      <c r="B1223">
        <v>379</v>
      </c>
      <c r="C1223">
        <v>63</v>
      </c>
      <c r="D1223">
        <v>2</v>
      </c>
      <c r="E1223" t="s">
        <v>23</v>
      </c>
      <c r="F1223" t="s">
        <v>26</v>
      </c>
      <c r="G1223" t="s">
        <v>10</v>
      </c>
    </row>
    <row r="1224" spans="1:7" x14ac:dyDescent="0.25">
      <c r="A1224" t="s">
        <v>219</v>
      </c>
      <c r="B1224">
        <v>81</v>
      </c>
      <c r="C1224">
        <v>-44</v>
      </c>
      <c r="D1224">
        <v>3</v>
      </c>
      <c r="E1224" t="s">
        <v>23</v>
      </c>
      <c r="F1224" t="s">
        <v>57</v>
      </c>
      <c r="G1224" t="s">
        <v>10</v>
      </c>
    </row>
    <row r="1225" spans="1:7" x14ac:dyDescent="0.25">
      <c r="A1225" t="s">
        <v>307</v>
      </c>
      <c r="B1225">
        <v>40</v>
      </c>
      <c r="C1225">
        <v>-33</v>
      </c>
      <c r="D1225">
        <v>5</v>
      </c>
      <c r="E1225" t="s">
        <v>23</v>
      </c>
      <c r="F1225" t="s">
        <v>30</v>
      </c>
      <c r="G1225" t="s">
        <v>19</v>
      </c>
    </row>
    <row r="1226" spans="1:7" x14ac:dyDescent="0.25">
      <c r="A1226" t="s">
        <v>179</v>
      </c>
      <c r="B1226">
        <v>40</v>
      </c>
      <c r="C1226">
        <v>18</v>
      </c>
      <c r="D1226">
        <v>1</v>
      </c>
      <c r="E1226" t="s">
        <v>8</v>
      </c>
      <c r="F1226" t="s">
        <v>73</v>
      </c>
      <c r="G1226" t="s">
        <v>19</v>
      </c>
    </row>
    <row r="1227" spans="1:7" x14ac:dyDescent="0.25">
      <c r="A1227" t="s">
        <v>123</v>
      </c>
      <c r="B1227">
        <v>534</v>
      </c>
      <c r="C1227">
        <v>0</v>
      </c>
      <c r="D1227">
        <v>3</v>
      </c>
      <c r="E1227" t="s">
        <v>23</v>
      </c>
      <c r="F1227" t="s">
        <v>26</v>
      </c>
      <c r="G1227" t="s">
        <v>82</v>
      </c>
    </row>
    <row r="1228" spans="1:7" x14ac:dyDescent="0.25">
      <c r="A1228" t="s">
        <v>211</v>
      </c>
      <c r="B1228">
        <v>31</v>
      </c>
      <c r="C1228">
        <v>9</v>
      </c>
      <c r="D1228">
        <v>2</v>
      </c>
      <c r="E1228" t="s">
        <v>23</v>
      </c>
      <c r="F1228" t="s">
        <v>30</v>
      </c>
      <c r="G1228" t="s">
        <v>10</v>
      </c>
    </row>
    <row r="1229" spans="1:7" x14ac:dyDescent="0.25">
      <c r="A1229" t="s">
        <v>170</v>
      </c>
      <c r="B1229">
        <v>473</v>
      </c>
      <c r="C1229">
        <v>-113</v>
      </c>
      <c r="D1229">
        <v>9</v>
      </c>
      <c r="E1229" t="s">
        <v>23</v>
      </c>
      <c r="F1229" t="s">
        <v>30</v>
      </c>
      <c r="G1229" t="s">
        <v>28</v>
      </c>
    </row>
    <row r="1230" spans="1:7" x14ac:dyDescent="0.25">
      <c r="A1230" t="s">
        <v>496</v>
      </c>
      <c r="B1230">
        <v>31</v>
      </c>
      <c r="C1230">
        <v>-10</v>
      </c>
      <c r="D1230">
        <v>3</v>
      </c>
      <c r="E1230" t="s">
        <v>23</v>
      </c>
      <c r="F1230" t="s">
        <v>43</v>
      </c>
      <c r="G1230" t="s">
        <v>10</v>
      </c>
    </row>
    <row r="1231" spans="1:7" x14ac:dyDescent="0.25">
      <c r="A1231" t="s">
        <v>469</v>
      </c>
      <c r="B1231">
        <v>31</v>
      </c>
      <c r="C1231">
        <v>-3</v>
      </c>
      <c r="D1231">
        <v>4</v>
      </c>
      <c r="E1231" t="s">
        <v>23</v>
      </c>
      <c r="F1231" t="s">
        <v>26</v>
      </c>
      <c r="G1231" t="s">
        <v>10</v>
      </c>
    </row>
    <row r="1232" spans="1:7" x14ac:dyDescent="0.25">
      <c r="A1232" t="s">
        <v>127</v>
      </c>
      <c r="B1232">
        <v>91</v>
      </c>
      <c r="C1232">
        <v>15</v>
      </c>
      <c r="D1232">
        <v>6</v>
      </c>
      <c r="E1232" t="s">
        <v>23</v>
      </c>
      <c r="F1232" t="s">
        <v>81</v>
      </c>
      <c r="G1232" t="s">
        <v>28</v>
      </c>
    </row>
    <row r="1233" spans="1:7" x14ac:dyDescent="0.25">
      <c r="A1233" t="s">
        <v>276</v>
      </c>
      <c r="B1233">
        <v>30</v>
      </c>
      <c r="C1233">
        <v>-25</v>
      </c>
      <c r="D1233">
        <v>2</v>
      </c>
      <c r="E1233" t="s">
        <v>23</v>
      </c>
      <c r="F1233" t="s">
        <v>81</v>
      </c>
      <c r="G1233" t="s">
        <v>10</v>
      </c>
    </row>
    <row r="1234" spans="1:7" x14ac:dyDescent="0.25">
      <c r="A1234" t="s">
        <v>260</v>
      </c>
      <c r="B1234">
        <v>30</v>
      </c>
      <c r="C1234">
        <v>6</v>
      </c>
      <c r="D1234">
        <v>1</v>
      </c>
      <c r="E1234" t="s">
        <v>23</v>
      </c>
      <c r="F1234" t="s">
        <v>81</v>
      </c>
      <c r="G1234" t="s">
        <v>10</v>
      </c>
    </row>
    <row r="1235" spans="1:7" x14ac:dyDescent="0.25">
      <c r="A1235" t="s">
        <v>37</v>
      </c>
      <c r="B1235">
        <v>40</v>
      </c>
      <c r="C1235">
        <v>0</v>
      </c>
      <c r="D1235">
        <v>3</v>
      </c>
      <c r="E1235" t="s">
        <v>23</v>
      </c>
      <c r="F1235" t="s">
        <v>26</v>
      </c>
      <c r="G1235" t="s">
        <v>19</v>
      </c>
    </row>
    <row r="1236" spans="1:7" x14ac:dyDescent="0.25">
      <c r="A1236" t="s">
        <v>262</v>
      </c>
      <c r="B1236">
        <v>534</v>
      </c>
      <c r="C1236">
        <v>5</v>
      </c>
      <c r="D1236">
        <v>2</v>
      </c>
      <c r="E1236" t="s">
        <v>8</v>
      </c>
      <c r="F1236" t="s">
        <v>9</v>
      </c>
      <c r="G1236" t="s">
        <v>82</v>
      </c>
    </row>
    <row r="1237" spans="1:7" x14ac:dyDescent="0.25">
      <c r="A1237" t="s">
        <v>141</v>
      </c>
      <c r="B1237">
        <v>539</v>
      </c>
      <c r="C1237">
        <v>-146</v>
      </c>
      <c r="D1237">
        <v>7</v>
      </c>
      <c r="E1237" t="s">
        <v>12</v>
      </c>
      <c r="F1237" t="s">
        <v>131</v>
      </c>
      <c r="G1237" t="s">
        <v>82</v>
      </c>
    </row>
    <row r="1238" spans="1:7" x14ac:dyDescent="0.25">
      <c r="A1238" t="s">
        <v>497</v>
      </c>
      <c r="B1238">
        <v>490</v>
      </c>
      <c r="C1238">
        <v>-128</v>
      </c>
      <c r="D1238">
        <v>8</v>
      </c>
      <c r="E1238" t="s">
        <v>12</v>
      </c>
      <c r="F1238" t="s">
        <v>16</v>
      </c>
      <c r="G1238" t="s">
        <v>28</v>
      </c>
    </row>
    <row r="1239" spans="1:7" x14ac:dyDescent="0.25">
      <c r="A1239" t="s">
        <v>55</v>
      </c>
      <c r="B1239">
        <v>163</v>
      </c>
      <c r="C1239">
        <v>81</v>
      </c>
      <c r="D1239">
        <v>2</v>
      </c>
      <c r="E1239" t="s">
        <v>8</v>
      </c>
      <c r="F1239" t="s">
        <v>73</v>
      </c>
      <c r="G1239" t="s">
        <v>10</v>
      </c>
    </row>
    <row r="1240" spans="1:7" x14ac:dyDescent="0.25">
      <c r="A1240" t="s">
        <v>88</v>
      </c>
      <c r="B1240">
        <v>184</v>
      </c>
      <c r="C1240">
        <v>85</v>
      </c>
      <c r="D1240">
        <v>6</v>
      </c>
      <c r="E1240" t="s">
        <v>23</v>
      </c>
      <c r="F1240" t="s">
        <v>81</v>
      </c>
      <c r="G1240" t="s">
        <v>28</v>
      </c>
    </row>
    <row r="1241" spans="1:7" x14ac:dyDescent="0.25">
      <c r="A1241" t="s">
        <v>440</v>
      </c>
      <c r="B1241">
        <v>494</v>
      </c>
      <c r="C1241">
        <v>54</v>
      </c>
      <c r="D1241">
        <v>4</v>
      </c>
      <c r="E1241" t="s">
        <v>12</v>
      </c>
      <c r="F1241" t="s">
        <v>16</v>
      </c>
      <c r="G1241" t="s">
        <v>10</v>
      </c>
    </row>
    <row r="1242" spans="1:7" x14ac:dyDescent="0.25">
      <c r="A1242" t="s">
        <v>498</v>
      </c>
      <c r="B1242">
        <v>30</v>
      </c>
      <c r="C1242">
        <v>11</v>
      </c>
      <c r="D1242">
        <v>5</v>
      </c>
      <c r="E1242" t="s">
        <v>23</v>
      </c>
      <c r="F1242" t="s">
        <v>30</v>
      </c>
      <c r="G1242" t="s">
        <v>10</v>
      </c>
    </row>
    <row r="1243" spans="1:7" x14ac:dyDescent="0.25">
      <c r="A1243" t="s">
        <v>420</v>
      </c>
      <c r="B1243">
        <v>30</v>
      </c>
      <c r="C1243">
        <v>0</v>
      </c>
      <c r="D1243">
        <v>1</v>
      </c>
      <c r="E1243" t="s">
        <v>23</v>
      </c>
      <c r="F1243" t="s">
        <v>32</v>
      </c>
      <c r="G1243" t="s">
        <v>10</v>
      </c>
    </row>
    <row r="1244" spans="1:7" x14ac:dyDescent="0.25">
      <c r="A1244" t="s">
        <v>61</v>
      </c>
      <c r="B1244">
        <v>39</v>
      </c>
      <c r="C1244">
        <v>-18</v>
      </c>
      <c r="D1244">
        <v>2</v>
      </c>
      <c r="E1244" t="s">
        <v>23</v>
      </c>
      <c r="F1244" t="s">
        <v>63</v>
      </c>
      <c r="G1244" t="s">
        <v>19</v>
      </c>
    </row>
    <row r="1245" spans="1:7" x14ac:dyDescent="0.25">
      <c r="A1245" t="s">
        <v>306</v>
      </c>
      <c r="B1245">
        <v>1700</v>
      </c>
      <c r="C1245">
        <v>85</v>
      </c>
      <c r="D1245">
        <v>3</v>
      </c>
      <c r="E1245" t="s">
        <v>23</v>
      </c>
      <c r="F1245" t="s">
        <v>24</v>
      </c>
      <c r="G1245" t="s">
        <v>10</v>
      </c>
    </row>
    <row r="1246" spans="1:7" x14ac:dyDescent="0.25">
      <c r="A1246" t="s">
        <v>143</v>
      </c>
      <c r="B1246">
        <v>332</v>
      </c>
      <c r="C1246">
        <v>-43</v>
      </c>
      <c r="D1246">
        <v>6</v>
      </c>
      <c r="E1246" t="s">
        <v>8</v>
      </c>
      <c r="F1246" t="s">
        <v>21</v>
      </c>
      <c r="G1246" t="s">
        <v>28</v>
      </c>
    </row>
    <row r="1247" spans="1:7" x14ac:dyDescent="0.25">
      <c r="A1247" t="s">
        <v>234</v>
      </c>
      <c r="B1247">
        <v>436</v>
      </c>
      <c r="C1247">
        <v>131</v>
      </c>
      <c r="D1247">
        <v>9</v>
      </c>
      <c r="E1247" t="s">
        <v>23</v>
      </c>
      <c r="F1247" t="s">
        <v>30</v>
      </c>
      <c r="G1247" t="s">
        <v>28</v>
      </c>
    </row>
    <row r="1248" spans="1:7" x14ac:dyDescent="0.25">
      <c r="A1248" t="s">
        <v>265</v>
      </c>
      <c r="B1248">
        <v>30</v>
      </c>
      <c r="C1248">
        <v>-5</v>
      </c>
      <c r="D1248">
        <v>2</v>
      </c>
      <c r="E1248" t="s">
        <v>12</v>
      </c>
      <c r="F1248" t="s">
        <v>131</v>
      </c>
      <c r="G1248" t="s">
        <v>10</v>
      </c>
    </row>
    <row r="1249" spans="1:7" x14ac:dyDescent="0.25">
      <c r="A1249" t="s">
        <v>266</v>
      </c>
      <c r="B1249">
        <v>30</v>
      </c>
      <c r="C1249">
        <v>-10</v>
      </c>
      <c r="D1249">
        <v>2</v>
      </c>
      <c r="E1249" t="s">
        <v>23</v>
      </c>
      <c r="F1249" t="s">
        <v>57</v>
      </c>
      <c r="G1249" t="s">
        <v>10</v>
      </c>
    </row>
    <row r="1250" spans="1:7" x14ac:dyDescent="0.25">
      <c r="A1250" t="s">
        <v>208</v>
      </c>
      <c r="B1250">
        <v>38</v>
      </c>
      <c r="C1250">
        <v>-13</v>
      </c>
      <c r="D1250">
        <v>3</v>
      </c>
      <c r="E1250" t="s">
        <v>23</v>
      </c>
      <c r="F1250" t="s">
        <v>57</v>
      </c>
      <c r="G1250" t="s">
        <v>19</v>
      </c>
    </row>
    <row r="1251" spans="1:7" x14ac:dyDescent="0.25">
      <c r="A1251" t="s">
        <v>172</v>
      </c>
      <c r="B1251">
        <v>511</v>
      </c>
      <c r="C1251">
        <v>194</v>
      </c>
      <c r="D1251">
        <v>3</v>
      </c>
      <c r="E1251" t="s">
        <v>12</v>
      </c>
      <c r="F1251" t="s">
        <v>13</v>
      </c>
      <c r="G1251" t="s">
        <v>28</v>
      </c>
    </row>
    <row r="1252" spans="1:7" x14ac:dyDescent="0.25">
      <c r="A1252" t="s">
        <v>67</v>
      </c>
      <c r="B1252">
        <v>37</v>
      </c>
      <c r="C1252">
        <v>-53</v>
      </c>
      <c r="D1252">
        <v>3</v>
      </c>
      <c r="E1252" t="s">
        <v>23</v>
      </c>
      <c r="F1252" t="s">
        <v>26</v>
      </c>
      <c r="G1252" t="s">
        <v>19</v>
      </c>
    </row>
    <row r="1253" spans="1:7" x14ac:dyDescent="0.25">
      <c r="A1253" t="s">
        <v>111</v>
      </c>
      <c r="B1253">
        <v>513</v>
      </c>
      <c r="C1253">
        <v>215</v>
      </c>
      <c r="D1253">
        <v>2</v>
      </c>
      <c r="E1253" t="s">
        <v>8</v>
      </c>
      <c r="F1253" t="s">
        <v>73</v>
      </c>
      <c r="G1253" t="s">
        <v>10</v>
      </c>
    </row>
    <row r="1254" spans="1:7" x14ac:dyDescent="0.25">
      <c r="A1254" t="s">
        <v>100</v>
      </c>
      <c r="B1254">
        <v>516</v>
      </c>
      <c r="C1254">
        <v>69</v>
      </c>
      <c r="D1254">
        <v>4</v>
      </c>
      <c r="E1254" t="s">
        <v>12</v>
      </c>
      <c r="F1254" t="s">
        <v>16</v>
      </c>
      <c r="G1254" t="s">
        <v>28</v>
      </c>
    </row>
    <row r="1255" spans="1:7" x14ac:dyDescent="0.25">
      <c r="A1255" t="s">
        <v>163</v>
      </c>
      <c r="B1255">
        <v>559</v>
      </c>
      <c r="C1255">
        <v>-19</v>
      </c>
      <c r="D1255">
        <v>2</v>
      </c>
      <c r="E1255" t="s">
        <v>23</v>
      </c>
      <c r="F1255" t="s">
        <v>24</v>
      </c>
      <c r="G1255" t="s">
        <v>82</v>
      </c>
    </row>
    <row r="1256" spans="1:7" x14ac:dyDescent="0.25">
      <c r="A1256" t="s">
        <v>499</v>
      </c>
      <c r="B1256">
        <v>29</v>
      </c>
      <c r="C1256">
        <v>-10</v>
      </c>
      <c r="D1256">
        <v>3</v>
      </c>
      <c r="E1256" t="s">
        <v>23</v>
      </c>
      <c r="F1256" t="s">
        <v>43</v>
      </c>
      <c r="G1256" t="s">
        <v>10</v>
      </c>
    </row>
    <row r="1257" spans="1:7" x14ac:dyDescent="0.25">
      <c r="A1257" t="s">
        <v>400</v>
      </c>
      <c r="B1257">
        <v>148</v>
      </c>
      <c r="C1257">
        <v>52</v>
      </c>
      <c r="D1257">
        <v>5</v>
      </c>
      <c r="E1257" t="s">
        <v>23</v>
      </c>
      <c r="F1257" t="s">
        <v>57</v>
      </c>
      <c r="G1257" t="s">
        <v>28</v>
      </c>
    </row>
    <row r="1258" spans="1:7" x14ac:dyDescent="0.25">
      <c r="A1258" t="s">
        <v>273</v>
      </c>
      <c r="B1258">
        <v>559</v>
      </c>
      <c r="C1258">
        <v>-174</v>
      </c>
      <c r="D1258">
        <v>2</v>
      </c>
      <c r="E1258" t="s">
        <v>8</v>
      </c>
      <c r="F1258" t="s">
        <v>9</v>
      </c>
      <c r="G1258" t="s">
        <v>82</v>
      </c>
    </row>
    <row r="1259" spans="1:7" x14ac:dyDescent="0.25">
      <c r="A1259" t="s">
        <v>299</v>
      </c>
      <c r="B1259">
        <v>527</v>
      </c>
      <c r="C1259">
        <v>26</v>
      </c>
      <c r="D1259">
        <v>3</v>
      </c>
      <c r="E1259" t="s">
        <v>8</v>
      </c>
      <c r="F1259" t="s">
        <v>9</v>
      </c>
      <c r="G1259" t="s">
        <v>10</v>
      </c>
    </row>
    <row r="1260" spans="1:7" x14ac:dyDescent="0.25">
      <c r="A1260" t="s">
        <v>300</v>
      </c>
      <c r="B1260">
        <v>560</v>
      </c>
      <c r="C1260">
        <v>44</v>
      </c>
      <c r="D1260">
        <v>3</v>
      </c>
      <c r="E1260" t="s">
        <v>23</v>
      </c>
      <c r="F1260" t="s">
        <v>26</v>
      </c>
      <c r="G1260" t="s">
        <v>82</v>
      </c>
    </row>
    <row r="1261" spans="1:7" x14ac:dyDescent="0.25">
      <c r="A1261" t="s">
        <v>225</v>
      </c>
      <c r="B1261">
        <v>571</v>
      </c>
      <c r="C1261">
        <v>108</v>
      </c>
      <c r="D1261">
        <v>12</v>
      </c>
      <c r="E1261" t="s">
        <v>23</v>
      </c>
      <c r="F1261" t="s">
        <v>57</v>
      </c>
      <c r="G1261" t="s">
        <v>82</v>
      </c>
    </row>
    <row r="1262" spans="1:7" x14ac:dyDescent="0.25">
      <c r="A1262" t="s">
        <v>500</v>
      </c>
      <c r="B1262">
        <v>29</v>
      </c>
      <c r="C1262">
        <v>2</v>
      </c>
      <c r="D1262">
        <v>3</v>
      </c>
      <c r="E1262" t="s">
        <v>23</v>
      </c>
      <c r="F1262" t="s">
        <v>43</v>
      </c>
      <c r="G1262" t="s">
        <v>10</v>
      </c>
    </row>
    <row r="1263" spans="1:7" x14ac:dyDescent="0.25">
      <c r="A1263" t="s">
        <v>299</v>
      </c>
      <c r="B1263">
        <v>29</v>
      </c>
      <c r="C1263">
        <v>3</v>
      </c>
      <c r="D1263">
        <v>2</v>
      </c>
      <c r="E1263" t="s">
        <v>23</v>
      </c>
      <c r="F1263" t="s">
        <v>57</v>
      </c>
      <c r="G1263" t="s">
        <v>10</v>
      </c>
    </row>
    <row r="1264" spans="1:7" x14ac:dyDescent="0.25">
      <c r="A1264" t="s">
        <v>284</v>
      </c>
      <c r="B1264">
        <v>29</v>
      </c>
      <c r="C1264">
        <v>-3</v>
      </c>
      <c r="D1264">
        <v>3</v>
      </c>
      <c r="E1264" t="s">
        <v>23</v>
      </c>
      <c r="F1264" t="s">
        <v>26</v>
      </c>
      <c r="G1264" t="s">
        <v>10</v>
      </c>
    </row>
    <row r="1265" spans="1:7" x14ac:dyDescent="0.25">
      <c r="A1265" t="s">
        <v>501</v>
      </c>
      <c r="B1265">
        <v>35</v>
      </c>
      <c r="C1265">
        <v>14</v>
      </c>
      <c r="D1265">
        <v>2</v>
      </c>
      <c r="E1265" t="s">
        <v>23</v>
      </c>
      <c r="F1265" t="s">
        <v>57</v>
      </c>
      <c r="G1265" t="s">
        <v>19</v>
      </c>
    </row>
    <row r="1266" spans="1:7" x14ac:dyDescent="0.25">
      <c r="A1266" t="s">
        <v>41</v>
      </c>
      <c r="B1266">
        <v>579</v>
      </c>
      <c r="C1266">
        <v>139</v>
      </c>
      <c r="D1266">
        <v>3</v>
      </c>
      <c r="E1266" t="s">
        <v>8</v>
      </c>
      <c r="F1266" t="s">
        <v>18</v>
      </c>
      <c r="G1266" t="s">
        <v>82</v>
      </c>
    </row>
    <row r="1267" spans="1:7" x14ac:dyDescent="0.25">
      <c r="A1267" t="s">
        <v>36</v>
      </c>
      <c r="B1267">
        <v>29</v>
      </c>
      <c r="C1267">
        <v>-24</v>
      </c>
      <c r="D1267">
        <v>4</v>
      </c>
      <c r="E1267" t="s">
        <v>23</v>
      </c>
      <c r="F1267" t="s">
        <v>63</v>
      </c>
      <c r="G1267" t="s">
        <v>10</v>
      </c>
    </row>
    <row r="1268" spans="1:7" x14ac:dyDescent="0.25">
      <c r="A1268" t="s">
        <v>67</v>
      </c>
      <c r="B1268">
        <v>593</v>
      </c>
      <c r="C1268">
        <v>213</v>
      </c>
      <c r="D1268">
        <v>4</v>
      </c>
      <c r="E1268" t="s">
        <v>12</v>
      </c>
      <c r="F1268" t="s">
        <v>16</v>
      </c>
      <c r="G1268" t="s">
        <v>82</v>
      </c>
    </row>
    <row r="1269" spans="1:7" x14ac:dyDescent="0.25">
      <c r="A1269" t="s">
        <v>173</v>
      </c>
      <c r="B1269">
        <v>217</v>
      </c>
      <c r="C1269">
        <v>72</v>
      </c>
      <c r="D1269">
        <v>2</v>
      </c>
      <c r="E1269" t="s">
        <v>12</v>
      </c>
      <c r="F1269" t="s">
        <v>131</v>
      </c>
      <c r="G1269" t="s">
        <v>10</v>
      </c>
    </row>
    <row r="1270" spans="1:7" x14ac:dyDescent="0.25">
      <c r="A1270" t="s">
        <v>502</v>
      </c>
      <c r="B1270">
        <v>353</v>
      </c>
      <c r="C1270">
        <v>90</v>
      </c>
      <c r="D1270">
        <v>8</v>
      </c>
      <c r="E1270" t="s">
        <v>23</v>
      </c>
      <c r="F1270" t="s">
        <v>26</v>
      </c>
      <c r="G1270" t="s">
        <v>10</v>
      </c>
    </row>
    <row r="1271" spans="1:7" x14ac:dyDescent="0.25">
      <c r="A1271" t="s">
        <v>230</v>
      </c>
      <c r="B1271">
        <v>382</v>
      </c>
      <c r="C1271">
        <v>92</v>
      </c>
      <c r="D1271">
        <v>2</v>
      </c>
      <c r="E1271" t="s">
        <v>8</v>
      </c>
      <c r="F1271" t="s">
        <v>18</v>
      </c>
      <c r="G1271" t="s">
        <v>10</v>
      </c>
    </row>
    <row r="1272" spans="1:7" x14ac:dyDescent="0.25">
      <c r="A1272" t="s">
        <v>192</v>
      </c>
      <c r="B1272">
        <v>597</v>
      </c>
      <c r="C1272">
        <v>93</v>
      </c>
      <c r="D1272">
        <v>4</v>
      </c>
      <c r="E1272" t="s">
        <v>12</v>
      </c>
      <c r="F1272" t="s">
        <v>13</v>
      </c>
      <c r="G1272" t="s">
        <v>82</v>
      </c>
    </row>
    <row r="1273" spans="1:7" x14ac:dyDescent="0.25">
      <c r="A1273" t="s">
        <v>503</v>
      </c>
      <c r="B1273">
        <v>212</v>
      </c>
      <c r="C1273">
        <v>97</v>
      </c>
      <c r="D1273">
        <v>7</v>
      </c>
      <c r="E1273" t="s">
        <v>23</v>
      </c>
      <c r="F1273" t="s">
        <v>30</v>
      </c>
      <c r="G1273" t="s">
        <v>10</v>
      </c>
    </row>
    <row r="1274" spans="1:7" x14ac:dyDescent="0.25">
      <c r="A1274" t="s">
        <v>269</v>
      </c>
      <c r="B1274">
        <v>689</v>
      </c>
      <c r="C1274">
        <v>90</v>
      </c>
      <c r="D1274">
        <v>5</v>
      </c>
      <c r="E1274" t="s">
        <v>23</v>
      </c>
      <c r="F1274" t="s">
        <v>26</v>
      </c>
      <c r="G1274" t="s">
        <v>10</v>
      </c>
    </row>
    <row r="1275" spans="1:7" x14ac:dyDescent="0.25">
      <c r="A1275" t="s">
        <v>504</v>
      </c>
      <c r="B1275">
        <v>28</v>
      </c>
      <c r="C1275">
        <v>-10</v>
      </c>
      <c r="D1275">
        <v>3</v>
      </c>
      <c r="E1275" t="s">
        <v>23</v>
      </c>
      <c r="F1275" t="s">
        <v>43</v>
      </c>
      <c r="G1275" t="s">
        <v>10</v>
      </c>
    </row>
    <row r="1276" spans="1:7" x14ac:dyDescent="0.25">
      <c r="A1276" t="s">
        <v>205</v>
      </c>
      <c r="B1276">
        <v>34</v>
      </c>
      <c r="C1276">
        <v>12</v>
      </c>
      <c r="D1276">
        <v>3</v>
      </c>
      <c r="E1276" t="s">
        <v>23</v>
      </c>
      <c r="F1276" t="s">
        <v>30</v>
      </c>
      <c r="G1276" t="s">
        <v>19</v>
      </c>
    </row>
    <row r="1277" spans="1:7" x14ac:dyDescent="0.25">
      <c r="A1277" t="s">
        <v>88</v>
      </c>
      <c r="B1277">
        <v>600</v>
      </c>
      <c r="C1277">
        <v>-102</v>
      </c>
      <c r="D1277">
        <v>5</v>
      </c>
      <c r="E1277" t="s">
        <v>8</v>
      </c>
      <c r="F1277" t="s">
        <v>9</v>
      </c>
      <c r="G1277" t="s">
        <v>82</v>
      </c>
    </row>
    <row r="1278" spans="1:7" x14ac:dyDescent="0.25">
      <c r="A1278" t="s">
        <v>505</v>
      </c>
      <c r="B1278">
        <v>637</v>
      </c>
      <c r="C1278">
        <v>113</v>
      </c>
      <c r="D1278">
        <v>5</v>
      </c>
      <c r="E1278" t="s">
        <v>23</v>
      </c>
      <c r="F1278" t="s">
        <v>26</v>
      </c>
      <c r="G1278" t="s">
        <v>28</v>
      </c>
    </row>
    <row r="1279" spans="1:7" x14ac:dyDescent="0.25">
      <c r="A1279" t="s">
        <v>62</v>
      </c>
      <c r="B1279">
        <v>616</v>
      </c>
      <c r="C1279">
        <v>-69</v>
      </c>
      <c r="D1279">
        <v>7</v>
      </c>
      <c r="E1279" t="s">
        <v>12</v>
      </c>
      <c r="F1279" t="s">
        <v>131</v>
      </c>
      <c r="G1279" t="s">
        <v>82</v>
      </c>
    </row>
    <row r="1280" spans="1:7" x14ac:dyDescent="0.25">
      <c r="A1280" t="s">
        <v>123</v>
      </c>
      <c r="B1280">
        <v>624</v>
      </c>
      <c r="C1280">
        <v>37</v>
      </c>
      <c r="D1280">
        <v>2</v>
      </c>
      <c r="E1280" t="s">
        <v>8</v>
      </c>
      <c r="F1280" t="s">
        <v>9</v>
      </c>
      <c r="G1280" t="s">
        <v>82</v>
      </c>
    </row>
    <row r="1281" spans="1:7" x14ac:dyDescent="0.25">
      <c r="A1281" t="s">
        <v>385</v>
      </c>
      <c r="B1281">
        <v>28</v>
      </c>
      <c r="C1281">
        <v>4</v>
      </c>
      <c r="D1281">
        <v>1</v>
      </c>
      <c r="E1281" t="s">
        <v>23</v>
      </c>
      <c r="F1281" t="s">
        <v>81</v>
      </c>
      <c r="G1281" t="s">
        <v>10</v>
      </c>
    </row>
    <row r="1282" spans="1:7" x14ac:dyDescent="0.25">
      <c r="A1282" t="s">
        <v>276</v>
      </c>
      <c r="B1282">
        <v>584</v>
      </c>
      <c r="C1282">
        <v>-444</v>
      </c>
      <c r="D1282">
        <v>7</v>
      </c>
      <c r="E1282" t="s">
        <v>8</v>
      </c>
      <c r="F1282" t="s">
        <v>18</v>
      </c>
      <c r="G1282" t="s">
        <v>28</v>
      </c>
    </row>
    <row r="1283" spans="1:7" x14ac:dyDescent="0.25">
      <c r="A1283" t="s">
        <v>178</v>
      </c>
      <c r="B1283">
        <v>28</v>
      </c>
      <c r="C1283">
        <v>6</v>
      </c>
      <c r="D1283">
        <v>4</v>
      </c>
      <c r="E1283" t="s">
        <v>23</v>
      </c>
      <c r="F1283" t="s">
        <v>43</v>
      </c>
      <c r="G1283" t="s">
        <v>10</v>
      </c>
    </row>
    <row r="1284" spans="1:7" x14ac:dyDescent="0.25">
      <c r="A1284" t="s">
        <v>17</v>
      </c>
      <c r="B1284">
        <v>33</v>
      </c>
      <c r="C1284">
        <v>-1</v>
      </c>
      <c r="D1284">
        <v>1</v>
      </c>
      <c r="E1284" t="s">
        <v>23</v>
      </c>
      <c r="F1284" t="s">
        <v>26</v>
      </c>
      <c r="G1284" t="s">
        <v>19</v>
      </c>
    </row>
    <row r="1285" spans="1:7" x14ac:dyDescent="0.25">
      <c r="A1285" t="s">
        <v>288</v>
      </c>
      <c r="B1285">
        <v>27</v>
      </c>
      <c r="C1285">
        <v>-20</v>
      </c>
      <c r="D1285">
        <v>2</v>
      </c>
      <c r="E1285" t="s">
        <v>23</v>
      </c>
      <c r="F1285" t="s">
        <v>30</v>
      </c>
      <c r="G1285" t="s">
        <v>10</v>
      </c>
    </row>
    <row r="1286" spans="1:7" x14ac:dyDescent="0.25">
      <c r="A1286" t="s">
        <v>187</v>
      </c>
      <c r="B1286">
        <v>27</v>
      </c>
      <c r="C1286">
        <v>5</v>
      </c>
      <c r="D1286">
        <v>2</v>
      </c>
      <c r="E1286" t="s">
        <v>23</v>
      </c>
      <c r="F1286" t="s">
        <v>43</v>
      </c>
      <c r="G1286" t="s">
        <v>10</v>
      </c>
    </row>
    <row r="1287" spans="1:7" x14ac:dyDescent="0.25">
      <c r="A1287" t="s">
        <v>91</v>
      </c>
      <c r="B1287">
        <v>27</v>
      </c>
      <c r="C1287">
        <v>4</v>
      </c>
      <c r="D1287">
        <v>3</v>
      </c>
      <c r="E1287" t="s">
        <v>23</v>
      </c>
      <c r="F1287" t="s">
        <v>43</v>
      </c>
      <c r="G1287" t="s">
        <v>10</v>
      </c>
    </row>
    <row r="1288" spans="1:7" x14ac:dyDescent="0.25">
      <c r="A1288" t="s">
        <v>298</v>
      </c>
      <c r="B1288">
        <v>635</v>
      </c>
      <c r="C1288">
        <v>-349</v>
      </c>
      <c r="D1288">
        <v>5</v>
      </c>
      <c r="E1288" t="s">
        <v>23</v>
      </c>
      <c r="F1288" t="s">
        <v>26</v>
      </c>
      <c r="G1288" t="s">
        <v>82</v>
      </c>
    </row>
    <row r="1289" spans="1:7" x14ac:dyDescent="0.25">
      <c r="A1289" t="s">
        <v>291</v>
      </c>
      <c r="B1289">
        <v>598</v>
      </c>
      <c r="C1289">
        <v>166</v>
      </c>
      <c r="D1289">
        <v>4</v>
      </c>
      <c r="E1289" t="s">
        <v>12</v>
      </c>
      <c r="F1289" t="s">
        <v>16</v>
      </c>
      <c r="G1289" t="s">
        <v>28</v>
      </c>
    </row>
    <row r="1290" spans="1:7" x14ac:dyDescent="0.25">
      <c r="A1290" t="s">
        <v>385</v>
      </c>
      <c r="B1290">
        <v>636</v>
      </c>
      <c r="C1290">
        <v>-204</v>
      </c>
      <c r="D1290">
        <v>2</v>
      </c>
      <c r="E1290" t="s">
        <v>8</v>
      </c>
      <c r="F1290" t="s">
        <v>18</v>
      </c>
      <c r="G1290" t="s">
        <v>82</v>
      </c>
    </row>
    <row r="1291" spans="1:7" x14ac:dyDescent="0.25">
      <c r="A1291" t="s">
        <v>382</v>
      </c>
      <c r="B1291">
        <v>27</v>
      </c>
      <c r="C1291">
        <v>9</v>
      </c>
      <c r="D1291">
        <v>2</v>
      </c>
      <c r="E1291" t="s">
        <v>23</v>
      </c>
      <c r="F1291" t="s">
        <v>30</v>
      </c>
      <c r="G1291" t="s">
        <v>10</v>
      </c>
    </row>
    <row r="1292" spans="1:7" x14ac:dyDescent="0.25">
      <c r="A1292" t="s">
        <v>182</v>
      </c>
      <c r="B1292">
        <v>27</v>
      </c>
      <c r="C1292">
        <v>-6</v>
      </c>
      <c r="D1292">
        <v>4</v>
      </c>
      <c r="E1292" t="s">
        <v>23</v>
      </c>
      <c r="F1292" t="s">
        <v>30</v>
      </c>
      <c r="G1292" t="s">
        <v>10</v>
      </c>
    </row>
    <row r="1293" spans="1:7" x14ac:dyDescent="0.25">
      <c r="A1293" t="s">
        <v>157</v>
      </c>
      <c r="B1293">
        <v>637</v>
      </c>
      <c r="C1293">
        <v>212</v>
      </c>
      <c r="D1293">
        <v>8</v>
      </c>
      <c r="E1293" t="s">
        <v>8</v>
      </c>
      <c r="F1293" t="s">
        <v>21</v>
      </c>
      <c r="G1293" t="s">
        <v>82</v>
      </c>
    </row>
    <row r="1294" spans="1:7" x14ac:dyDescent="0.25">
      <c r="A1294" t="s">
        <v>253</v>
      </c>
      <c r="B1294">
        <v>290</v>
      </c>
      <c r="C1294">
        <v>110</v>
      </c>
      <c r="D1294">
        <v>9</v>
      </c>
      <c r="E1294" t="s">
        <v>23</v>
      </c>
      <c r="F1294" t="s">
        <v>57</v>
      </c>
      <c r="G1294" t="s">
        <v>28</v>
      </c>
    </row>
    <row r="1295" spans="1:7" x14ac:dyDescent="0.25">
      <c r="A1295" t="s">
        <v>506</v>
      </c>
      <c r="B1295">
        <v>27</v>
      </c>
      <c r="C1295">
        <v>-25</v>
      </c>
      <c r="D1295">
        <v>2</v>
      </c>
      <c r="E1295" t="s">
        <v>23</v>
      </c>
      <c r="F1295" t="s">
        <v>57</v>
      </c>
      <c r="G1295" t="s">
        <v>10</v>
      </c>
    </row>
    <row r="1296" spans="1:7" x14ac:dyDescent="0.25">
      <c r="A1296" t="s">
        <v>507</v>
      </c>
      <c r="B1296">
        <v>632</v>
      </c>
      <c r="C1296">
        <v>-114</v>
      </c>
      <c r="D1296">
        <v>4</v>
      </c>
      <c r="E1296" t="s">
        <v>12</v>
      </c>
      <c r="F1296" t="s">
        <v>45</v>
      </c>
      <c r="G1296" t="s">
        <v>28</v>
      </c>
    </row>
    <row r="1297" spans="1:7" x14ac:dyDescent="0.25">
      <c r="A1297" t="s">
        <v>36</v>
      </c>
      <c r="B1297">
        <v>643</v>
      </c>
      <c r="C1297">
        <v>-45</v>
      </c>
      <c r="D1297">
        <v>2</v>
      </c>
      <c r="E1297" t="s">
        <v>8</v>
      </c>
      <c r="F1297" t="s">
        <v>18</v>
      </c>
      <c r="G1297" t="s">
        <v>82</v>
      </c>
    </row>
    <row r="1298" spans="1:7" x14ac:dyDescent="0.25">
      <c r="A1298" t="s">
        <v>60</v>
      </c>
      <c r="B1298">
        <v>652</v>
      </c>
      <c r="C1298">
        <v>13</v>
      </c>
      <c r="D1298">
        <v>6</v>
      </c>
      <c r="E1298" t="s">
        <v>12</v>
      </c>
      <c r="F1298" t="s">
        <v>131</v>
      </c>
      <c r="G1298" t="s">
        <v>82</v>
      </c>
    </row>
    <row r="1299" spans="1:7" x14ac:dyDescent="0.25">
      <c r="A1299" t="s">
        <v>127</v>
      </c>
      <c r="B1299">
        <v>33</v>
      </c>
      <c r="C1299">
        <v>-27</v>
      </c>
      <c r="D1299">
        <v>1</v>
      </c>
      <c r="E1299" t="s">
        <v>12</v>
      </c>
      <c r="F1299" t="s">
        <v>13</v>
      </c>
      <c r="G1299" t="s">
        <v>19</v>
      </c>
    </row>
    <row r="1300" spans="1:7" x14ac:dyDescent="0.25">
      <c r="A1300" t="s">
        <v>388</v>
      </c>
      <c r="B1300">
        <v>26</v>
      </c>
      <c r="C1300">
        <v>2</v>
      </c>
      <c r="D1300">
        <v>2</v>
      </c>
      <c r="E1300" t="s">
        <v>23</v>
      </c>
      <c r="F1300" t="s">
        <v>30</v>
      </c>
      <c r="G1300" t="s">
        <v>10</v>
      </c>
    </row>
    <row r="1301" spans="1:7" x14ac:dyDescent="0.25">
      <c r="A1301" t="s">
        <v>371</v>
      </c>
      <c r="B1301">
        <v>633</v>
      </c>
      <c r="C1301">
        <v>-633</v>
      </c>
      <c r="D1301">
        <v>11</v>
      </c>
      <c r="E1301" t="s">
        <v>8</v>
      </c>
      <c r="F1301" t="s">
        <v>73</v>
      </c>
      <c r="G1301" t="s">
        <v>28</v>
      </c>
    </row>
    <row r="1302" spans="1:7" x14ac:dyDescent="0.25">
      <c r="A1302" t="s">
        <v>22</v>
      </c>
      <c r="B1302">
        <v>26</v>
      </c>
      <c r="C1302">
        <v>9</v>
      </c>
      <c r="D1302">
        <v>2</v>
      </c>
      <c r="E1302" t="s">
        <v>23</v>
      </c>
      <c r="F1302" t="s">
        <v>63</v>
      </c>
      <c r="G1302" t="s">
        <v>10</v>
      </c>
    </row>
    <row r="1303" spans="1:7" x14ac:dyDescent="0.25">
      <c r="A1303" t="s">
        <v>115</v>
      </c>
      <c r="B1303">
        <v>191</v>
      </c>
      <c r="C1303">
        <v>93</v>
      </c>
      <c r="D1303">
        <v>4</v>
      </c>
      <c r="E1303" t="s">
        <v>23</v>
      </c>
      <c r="F1303" t="s">
        <v>142</v>
      </c>
      <c r="G1303" t="s">
        <v>28</v>
      </c>
    </row>
    <row r="1304" spans="1:7" x14ac:dyDescent="0.25">
      <c r="A1304" t="s">
        <v>25</v>
      </c>
      <c r="B1304">
        <v>887</v>
      </c>
      <c r="C1304">
        <v>80</v>
      </c>
      <c r="D1304">
        <v>3</v>
      </c>
      <c r="E1304" t="s">
        <v>8</v>
      </c>
      <c r="F1304" t="s">
        <v>18</v>
      </c>
      <c r="G1304" t="s">
        <v>28</v>
      </c>
    </row>
    <row r="1305" spans="1:7" x14ac:dyDescent="0.25">
      <c r="A1305" t="s">
        <v>508</v>
      </c>
      <c r="B1305">
        <v>637</v>
      </c>
      <c r="C1305">
        <v>261</v>
      </c>
      <c r="D1305">
        <v>2</v>
      </c>
      <c r="E1305" t="s">
        <v>8</v>
      </c>
      <c r="F1305" t="s">
        <v>18</v>
      </c>
      <c r="G1305" t="s">
        <v>10</v>
      </c>
    </row>
    <row r="1306" spans="1:7" x14ac:dyDescent="0.25">
      <c r="A1306" t="s">
        <v>252</v>
      </c>
      <c r="B1306">
        <v>670</v>
      </c>
      <c r="C1306">
        <v>15</v>
      </c>
      <c r="D1306">
        <v>5</v>
      </c>
      <c r="E1306" t="s">
        <v>12</v>
      </c>
      <c r="F1306" t="s">
        <v>16</v>
      </c>
      <c r="G1306" t="s">
        <v>82</v>
      </c>
    </row>
    <row r="1307" spans="1:7" x14ac:dyDescent="0.25">
      <c r="A1307" t="s">
        <v>72</v>
      </c>
      <c r="B1307">
        <v>26</v>
      </c>
      <c r="C1307">
        <v>7</v>
      </c>
      <c r="D1307">
        <v>4</v>
      </c>
      <c r="E1307" t="s">
        <v>23</v>
      </c>
      <c r="F1307" t="s">
        <v>30</v>
      </c>
      <c r="G1307" t="s">
        <v>10</v>
      </c>
    </row>
    <row r="1308" spans="1:7" x14ac:dyDescent="0.25">
      <c r="A1308" t="s">
        <v>88</v>
      </c>
      <c r="B1308">
        <v>676</v>
      </c>
      <c r="C1308">
        <v>195</v>
      </c>
      <c r="D1308">
        <v>5</v>
      </c>
      <c r="E1308" t="s">
        <v>12</v>
      </c>
      <c r="F1308" t="s">
        <v>16</v>
      </c>
      <c r="G1308" t="s">
        <v>82</v>
      </c>
    </row>
    <row r="1309" spans="1:7" x14ac:dyDescent="0.25">
      <c r="A1309" t="s">
        <v>509</v>
      </c>
      <c r="B1309">
        <v>26</v>
      </c>
      <c r="C1309">
        <v>12</v>
      </c>
      <c r="D1309">
        <v>3</v>
      </c>
      <c r="E1309" t="s">
        <v>23</v>
      </c>
      <c r="F1309" t="s">
        <v>30</v>
      </c>
      <c r="G1309" t="s">
        <v>10</v>
      </c>
    </row>
    <row r="1310" spans="1:7" x14ac:dyDescent="0.25">
      <c r="A1310" t="s">
        <v>66</v>
      </c>
      <c r="B1310">
        <v>26</v>
      </c>
      <c r="C1310">
        <v>-24</v>
      </c>
      <c r="D1310">
        <v>1</v>
      </c>
      <c r="E1310" t="s">
        <v>23</v>
      </c>
      <c r="F1310" t="s">
        <v>57</v>
      </c>
      <c r="G1310" t="s">
        <v>10</v>
      </c>
    </row>
    <row r="1311" spans="1:7" x14ac:dyDescent="0.25">
      <c r="A1311" t="s">
        <v>122</v>
      </c>
      <c r="B1311">
        <v>25</v>
      </c>
      <c r="C1311">
        <v>7</v>
      </c>
      <c r="D1311">
        <v>2</v>
      </c>
      <c r="E1311" t="s">
        <v>23</v>
      </c>
      <c r="F1311" t="s">
        <v>57</v>
      </c>
      <c r="G1311" t="s">
        <v>10</v>
      </c>
    </row>
    <row r="1312" spans="1:7" x14ac:dyDescent="0.25">
      <c r="A1312" t="s">
        <v>149</v>
      </c>
      <c r="B1312">
        <v>24</v>
      </c>
      <c r="C1312">
        <v>-30</v>
      </c>
      <c r="D1312">
        <v>1</v>
      </c>
      <c r="E1312" t="s">
        <v>12</v>
      </c>
      <c r="F1312" t="s">
        <v>13</v>
      </c>
      <c r="G1312" t="s">
        <v>10</v>
      </c>
    </row>
    <row r="1313" spans="1:7" x14ac:dyDescent="0.25">
      <c r="A1313" t="s">
        <v>223</v>
      </c>
      <c r="B1313">
        <v>32</v>
      </c>
      <c r="C1313">
        <v>-12</v>
      </c>
      <c r="D1313">
        <v>1</v>
      </c>
      <c r="E1313" t="s">
        <v>12</v>
      </c>
      <c r="F1313" t="s">
        <v>13</v>
      </c>
      <c r="G1313" t="s">
        <v>19</v>
      </c>
    </row>
    <row r="1314" spans="1:7" x14ac:dyDescent="0.25">
      <c r="A1314" t="s">
        <v>135</v>
      </c>
      <c r="B1314">
        <v>31</v>
      </c>
      <c r="C1314">
        <v>-2</v>
      </c>
      <c r="D1314">
        <v>2</v>
      </c>
      <c r="E1314" t="s">
        <v>23</v>
      </c>
      <c r="F1314" t="s">
        <v>26</v>
      </c>
      <c r="G1314" t="s">
        <v>19</v>
      </c>
    </row>
    <row r="1315" spans="1:7" x14ac:dyDescent="0.25">
      <c r="A1315" t="s">
        <v>123</v>
      </c>
      <c r="B1315">
        <v>651</v>
      </c>
      <c r="C1315">
        <v>169</v>
      </c>
      <c r="D1315">
        <v>5</v>
      </c>
      <c r="E1315" t="s">
        <v>8</v>
      </c>
      <c r="F1315" t="s">
        <v>18</v>
      </c>
      <c r="G1315" t="s">
        <v>10</v>
      </c>
    </row>
    <row r="1316" spans="1:7" x14ac:dyDescent="0.25">
      <c r="A1316" t="s">
        <v>309</v>
      </c>
      <c r="B1316">
        <v>326</v>
      </c>
      <c r="C1316">
        <v>107</v>
      </c>
      <c r="D1316">
        <v>3</v>
      </c>
      <c r="E1316" t="s">
        <v>12</v>
      </c>
      <c r="F1316" t="s">
        <v>131</v>
      </c>
      <c r="G1316" t="s">
        <v>28</v>
      </c>
    </row>
    <row r="1317" spans="1:7" x14ac:dyDescent="0.25">
      <c r="A1317" t="s">
        <v>388</v>
      </c>
      <c r="B1317">
        <v>30</v>
      </c>
      <c r="C1317">
        <v>-6</v>
      </c>
      <c r="D1317">
        <v>2</v>
      </c>
      <c r="E1317" t="s">
        <v>23</v>
      </c>
      <c r="F1317" t="s">
        <v>30</v>
      </c>
      <c r="G1317" t="s">
        <v>28</v>
      </c>
    </row>
    <row r="1318" spans="1:7" x14ac:dyDescent="0.25">
      <c r="A1318" t="s">
        <v>179</v>
      </c>
      <c r="B1318">
        <v>30</v>
      </c>
      <c r="C1318">
        <v>5</v>
      </c>
      <c r="D1318">
        <v>2</v>
      </c>
      <c r="E1318" t="s">
        <v>23</v>
      </c>
      <c r="F1318" t="s">
        <v>32</v>
      </c>
      <c r="G1318" t="s">
        <v>28</v>
      </c>
    </row>
    <row r="1319" spans="1:7" x14ac:dyDescent="0.25">
      <c r="A1319" t="s">
        <v>510</v>
      </c>
      <c r="B1319">
        <v>662</v>
      </c>
      <c r="C1319">
        <v>240</v>
      </c>
      <c r="D1319">
        <v>2</v>
      </c>
      <c r="E1319" t="s">
        <v>12</v>
      </c>
      <c r="F1319" t="s">
        <v>16</v>
      </c>
      <c r="G1319" t="s">
        <v>10</v>
      </c>
    </row>
    <row r="1320" spans="1:7" x14ac:dyDescent="0.25">
      <c r="A1320" t="s">
        <v>54</v>
      </c>
      <c r="B1320">
        <v>30</v>
      </c>
      <c r="C1320">
        <v>-23</v>
      </c>
      <c r="D1320">
        <v>2</v>
      </c>
      <c r="E1320" t="s">
        <v>23</v>
      </c>
      <c r="F1320" t="s">
        <v>26</v>
      </c>
      <c r="G1320" t="s">
        <v>28</v>
      </c>
    </row>
    <row r="1321" spans="1:7" x14ac:dyDescent="0.25">
      <c r="A1321" t="s">
        <v>253</v>
      </c>
      <c r="B1321">
        <v>29</v>
      </c>
      <c r="C1321">
        <v>9</v>
      </c>
      <c r="D1321">
        <v>3</v>
      </c>
      <c r="E1321" t="s">
        <v>23</v>
      </c>
      <c r="F1321" t="s">
        <v>26</v>
      </c>
      <c r="G1321" t="s">
        <v>28</v>
      </c>
    </row>
    <row r="1322" spans="1:7" x14ac:dyDescent="0.25">
      <c r="A1322" t="s">
        <v>163</v>
      </c>
      <c r="B1322">
        <v>28</v>
      </c>
      <c r="C1322">
        <v>1</v>
      </c>
      <c r="D1322">
        <v>1</v>
      </c>
      <c r="E1322" t="s">
        <v>8</v>
      </c>
      <c r="F1322" t="s">
        <v>73</v>
      </c>
      <c r="G1322" t="s">
        <v>28</v>
      </c>
    </row>
    <row r="1323" spans="1:7" x14ac:dyDescent="0.25">
      <c r="A1323" t="s">
        <v>117</v>
      </c>
      <c r="B1323">
        <v>28</v>
      </c>
      <c r="C1323">
        <v>-3</v>
      </c>
      <c r="D1323">
        <v>2</v>
      </c>
      <c r="E1323" t="s">
        <v>23</v>
      </c>
      <c r="F1323" t="s">
        <v>26</v>
      </c>
      <c r="G1323" t="s">
        <v>28</v>
      </c>
    </row>
    <row r="1324" spans="1:7" x14ac:dyDescent="0.25">
      <c r="A1324" t="s">
        <v>511</v>
      </c>
      <c r="B1324">
        <v>24</v>
      </c>
      <c r="C1324">
        <v>2</v>
      </c>
      <c r="D1324">
        <v>4</v>
      </c>
      <c r="E1324" t="s">
        <v>23</v>
      </c>
      <c r="F1324" t="s">
        <v>30</v>
      </c>
      <c r="G1324" t="s">
        <v>10</v>
      </c>
    </row>
    <row r="1325" spans="1:7" x14ac:dyDescent="0.25">
      <c r="A1325" t="s">
        <v>135</v>
      </c>
      <c r="B1325">
        <v>28</v>
      </c>
      <c r="C1325">
        <v>-26</v>
      </c>
      <c r="D1325">
        <v>2</v>
      </c>
      <c r="E1325" t="s">
        <v>23</v>
      </c>
      <c r="F1325" t="s">
        <v>57</v>
      </c>
      <c r="G1325" t="s">
        <v>28</v>
      </c>
    </row>
    <row r="1326" spans="1:7" x14ac:dyDescent="0.25">
      <c r="A1326" t="s">
        <v>275</v>
      </c>
      <c r="B1326">
        <v>27</v>
      </c>
      <c r="C1326">
        <v>5</v>
      </c>
      <c r="D1326">
        <v>1</v>
      </c>
      <c r="E1326" t="s">
        <v>23</v>
      </c>
      <c r="F1326" t="s">
        <v>57</v>
      </c>
      <c r="G1326" t="s">
        <v>28</v>
      </c>
    </row>
    <row r="1327" spans="1:7" x14ac:dyDescent="0.25">
      <c r="A1327" t="s">
        <v>512</v>
      </c>
      <c r="B1327">
        <v>27</v>
      </c>
      <c r="C1327">
        <v>-15</v>
      </c>
      <c r="D1327">
        <v>1</v>
      </c>
      <c r="E1327" t="s">
        <v>23</v>
      </c>
      <c r="F1327" t="s">
        <v>57</v>
      </c>
      <c r="G1327" t="s">
        <v>28</v>
      </c>
    </row>
    <row r="1328" spans="1:7" x14ac:dyDescent="0.25">
      <c r="A1328" t="s">
        <v>383</v>
      </c>
      <c r="B1328">
        <v>24</v>
      </c>
      <c r="C1328">
        <v>11</v>
      </c>
      <c r="D1328">
        <v>3</v>
      </c>
      <c r="E1328" t="s">
        <v>23</v>
      </c>
      <c r="F1328" t="s">
        <v>30</v>
      </c>
      <c r="G1328" t="s">
        <v>10</v>
      </c>
    </row>
    <row r="1329" spans="1:7" x14ac:dyDescent="0.25">
      <c r="A1329" t="s">
        <v>266</v>
      </c>
      <c r="B1329">
        <v>23</v>
      </c>
      <c r="C1329">
        <v>-6</v>
      </c>
      <c r="D1329">
        <v>4</v>
      </c>
      <c r="E1329" t="s">
        <v>23</v>
      </c>
      <c r="F1329" t="s">
        <v>30</v>
      </c>
      <c r="G1329" t="s">
        <v>10</v>
      </c>
    </row>
    <row r="1330" spans="1:7" x14ac:dyDescent="0.25">
      <c r="A1330" t="s">
        <v>99</v>
      </c>
      <c r="B1330">
        <v>322</v>
      </c>
      <c r="C1330">
        <v>193</v>
      </c>
      <c r="D1330">
        <v>5</v>
      </c>
      <c r="E1330" t="s">
        <v>8</v>
      </c>
      <c r="F1330" t="s">
        <v>18</v>
      </c>
      <c r="G1330" t="s">
        <v>10</v>
      </c>
    </row>
    <row r="1331" spans="1:7" x14ac:dyDescent="0.25">
      <c r="A1331" t="s">
        <v>202</v>
      </c>
      <c r="B1331">
        <v>688</v>
      </c>
      <c r="C1331">
        <v>-103</v>
      </c>
      <c r="D1331">
        <v>6</v>
      </c>
      <c r="E1331" t="s">
        <v>8</v>
      </c>
      <c r="F1331" t="s">
        <v>73</v>
      </c>
      <c r="G1331" t="s">
        <v>82</v>
      </c>
    </row>
    <row r="1332" spans="1:7" x14ac:dyDescent="0.25">
      <c r="A1332" t="s">
        <v>371</v>
      </c>
      <c r="B1332">
        <v>23</v>
      </c>
      <c r="C1332">
        <v>-3</v>
      </c>
      <c r="D1332">
        <v>1</v>
      </c>
      <c r="E1332" t="s">
        <v>23</v>
      </c>
      <c r="F1332" t="s">
        <v>142</v>
      </c>
      <c r="G1332" t="s">
        <v>10</v>
      </c>
    </row>
    <row r="1333" spans="1:7" x14ac:dyDescent="0.25">
      <c r="A1333" t="s">
        <v>209</v>
      </c>
      <c r="B1333">
        <v>26</v>
      </c>
      <c r="C1333">
        <v>3</v>
      </c>
      <c r="D1333">
        <v>3</v>
      </c>
      <c r="E1333" t="s">
        <v>23</v>
      </c>
      <c r="F1333" t="s">
        <v>43</v>
      </c>
      <c r="G1333" t="s">
        <v>28</v>
      </c>
    </row>
    <row r="1334" spans="1:7" x14ac:dyDescent="0.25">
      <c r="A1334" t="s">
        <v>262</v>
      </c>
      <c r="B1334">
        <v>68</v>
      </c>
      <c r="C1334">
        <v>-56</v>
      </c>
      <c r="D1334">
        <v>2</v>
      </c>
      <c r="E1334" t="s">
        <v>8</v>
      </c>
      <c r="F1334" t="s">
        <v>21</v>
      </c>
      <c r="G1334" t="s">
        <v>10</v>
      </c>
    </row>
    <row r="1335" spans="1:7" x14ac:dyDescent="0.25">
      <c r="A1335" t="s">
        <v>392</v>
      </c>
      <c r="B1335">
        <v>462</v>
      </c>
      <c r="C1335">
        <v>169</v>
      </c>
      <c r="D1335">
        <v>4</v>
      </c>
      <c r="E1335" t="s">
        <v>23</v>
      </c>
      <c r="F1335" t="s">
        <v>26</v>
      </c>
      <c r="G1335" t="s">
        <v>10</v>
      </c>
    </row>
    <row r="1336" spans="1:7" x14ac:dyDescent="0.25">
      <c r="A1336" t="s">
        <v>469</v>
      </c>
      <c r="B1336">
        <v>941</v>
      </c>
      <c r="C1336">
        <v>203</v>
      </c>
      <c r="D1336">
        <v>3</v>
      </c>
      <c r="E1336" t="s">
        <v>12</v>
      </c>
      <c r="F1336" t="s">
        <v>45</v>
      </c>
      <c r="G1336" t="s">
        <v>28</v>
      </c>
    </row>
    <row r="1337" spans="1:7" x14ac:dyDescent="0.25">
      <c r="A1337" t="s">
        <v>191</v>
      </c>
      <c r="B1337">
        <v>23</v>
      </c>
      <c r="C1337">
        <v>4</v>
      </c>
      <c r="D1337">
        <v>2</v>
      </c>
      <c r="E1337" t="s">
        <v>23</v>
      </c>
      <c r="F1337" t="s">
        <v>43</v>
      </c>
      <c r="G1337" t="s">
        <v>10</v>
      </c>
    </row>
    <row r="1338" spans="1:7" x14ac:dyDescent="0.25">
      <c r="A1338" t="s">
        <v>436</v>
      </c>
      <c r="B1338">
        <v>720</v>
      </c>
      <c r="C1338">
        <v>43</v>
      </c>
      <c r="D1338">
        <v>2</v>
      </c>
      <c r="E1338" t="s">
        <v>8</v>
      </c>
      <c r="F1338" t="s">
        <v>18</v>
      </c>
      <c r="G1338" t="s">
        <v>28</v>
      </c>
    </row>
    <row r="1339" spans="1:7" x14ac:dyDescent="0.25">
      <c r="A1339" t="s">
        <v>52</v>
      </c>
      <c r="B1339">
        <v>724</v>
      </c>
      <c r="C1339">
        <v>-447</v>
      </c>
      <c r="D1339">
        <v>4</v>
      </c>
      <c r="E1339" t="s">
        <v>8</v>
      </c>
      <c r="F1339" t="s">
        <v>9</v>
      </c>
      <c r="G1339" t="s">
        <v>28</v>
      </c>
    </row>
    <row r="1340" spans="1:7" x14ac:dyDescent="0.25">
      <c r="A1340" t="s">
        <v>513</v>
      </c>
      <c r="B1340">
        <v>724</v>
      </c>
      <c r="C1340">
        <v>253</v>
      </c>
      <c r="D1340">
        <v>2</v>
      </c>
      <c r="E1340" t="s">
        <v>12</v>
      </c>
      <c r="F1340" t="s">
        <v>16</v>
      </c>
      <c r="G1340" t="s">
        <v>28</v>
      </c>
    </row>
    <row r="1341" spans="1:7" x14ac:dyDescent="0.25">
      <c r="A1341" t="s">
        <v>79</v>
      </c>
      <c r="B1341">
        <v>26</v>
      </c>
      <c r="C1341">
        <v>10</v>
      </c>
      <c r="D1341">
        <v>4</v>
      </c>
      <c r="E1341" t="s">
        <v>23</v>
      </c>
      <c r="F1341" t="s">
        <v>30</v>
      </c>
      <c r="G1341" t="s">
        <v>28</v>
      </c>
    </row>
    <row r="1342" spans="1:7" x14ac:dyDescent="0.25">
      <c r="A1342" t="s">
        <v>107</v>
      </c>
      <c r="B1342">
        <v>22</v>
      </c>
      <c r="C1342">
        <v>-2</v>
      </c>
      <c r="D1342">
        <v>3</v>
      </c>
      <c r="E1342" t="s">
        <v>23</v>
      </c>
      <c r="F1342" t="s">
        <v>30</v>
      </c>
      <c r="G1342" t="s">
        <v>10</v>
      </c>
    </row>
    <row r="1343" spans="1:7" x14ac:dyDescent="0.25">
      <c r="A1343" t="s">
        <v>189</v>
      </c>
      <c r="B1343">
        <v>711</v>
      </c>
      <c r="C1343">
        <v>-8</v>
      </c>
      <c r="D1343">
        <v>4</v>
      </c>
      <c r="E1343" t="s">
        <v>23</v>
      </c>
      <c r="F1343" t="s">
        <v>26</v>
      </c>
      <c r="G1343" t="s">
        <v>82</v>
      </c>
    </row>
    <row r="1344" spans="1:7" x14ac:dyDescent="0.25">
      <c r="A1344" t="s">
        <v>288</v>
      </c>
      <c r="B1344">
        <v>107</v>
      </c>
      <c r="C1344">
        <v>31</v>
      </c>
      <c r="D1344">
        <v>5</v>
      </c>
      <c r="E1344" t="s">
        <v>23</v>
      </c>
      <c r="F1344" t="s">
        <v>81</v>
      </c>
      <c r="G1344" t="s">
        <v>10</v>
      </c>
    </row>
    <row r="1345" spans="1:7" x14ac:dyDescent="0.25">
      <c r="A1345" t="s">
        <v>341</v>
      </c>
      <c r="B1345">
        <v>765</v>
      </c>
      <c r="C1345">
        <v>-153</v>
      </c>
      <c r="D1345">
        <v>2</v>
      </c>
      <c r="E1345" t="s">
        <v>8</v>
      </c>
      <c r="F1345" t="s">
        <v>21</v>
      </c>
      <c r="G1345" t="s">
        <v>82</v>
      </c>
    </row>
    <row r="1346" spans="1:7" x14ac:dyDescent="0.25">
      <c r="A1346" t="s">
        <v>382</v>
      </c>
      <c r="B1346">
        <v>22</v>
      </c>
      <c r="C1346">
        <v>8</v>
      </c>
      <c r="D1346">
        <v>2</v>
      </c>
      <c r="E1346" t="s">
        <v>23</v>
      </c>
      <c r="F1346" t="s">
        <v>63</v>
      </c>
      <c r="G1346" t="s">
        <v>10</v>
      </c>
    </row>
    <row r="1347" spans="1:7" x14ac:dyDescent="0.25">
      <c r="A1347" t="s">
        <v>418</v>
      </c>
      <c r="B1347">
        <v>26</v>
      </c>
      <c r="C1347">
        <v>-5</v>
      </c>
      <c r="D1347">
        <v>2</v>
      </c>
      <c r="E1347" t="s">
        <v>23</v>
      </c>
      <c r="F1347" t="s">
        <v>57</v>
      </c>
      <c r="G1347" t="s">
        <v>28</v>
      </c>
    </row>
    <row r="1348" spans="1:7" x14ac:dyDescent="0.25">
      <c r="A1348" t="s">
        <v>187</v>
      </c>
      <c r="B1348">
        <v>22</v>
      </c>
      <c r="C1348">
        <v>8</v>
      </c>
      <c r="D1348">
        <v>3</v>
      </c>
      <c r="E1348" t="s">
        <v>23</v>
      </c>
      <c r="F1348" t="s">
        <v>30</v>
      </c>
      <c r="G1348" t="s">
        <v>10</v>
      </c>
    </row>
    <row r="1349" spans="1:7" x14ac:dyDescent="0.25">
      <c r="A1349" t="s">
        <v>514</v>
      </c>
      <c r="B1349">
        <v>743</v>
      </c>
      <c r="C1349">
        <v>89</v>
      </c>
      <c r="D1349">
        <v>5</v>
      </c>
      <c r="E1349" t="s">
        <v>8</v>
      </c>
      <c r="F1349" t="s">
        <v>18</v>
      </c>
      <c r="G1349" t="s">
        <v>28</v>
      </c>
    </row>
    <row r="1350" spans="1:7" x14ac:dyDescent="0.25">
      <c r="A1350" t="s">
        <v>33</v>
      </c>
      <c r="B1350">
        <v>22</v>
      </c>
      <c r="C1350">
        <v>-15</v>
      </c>
      <c r="D1350">
        <v>4</v>
      </c>
      <c r="E1350" t="s">
        <v>23</v>
      </c>
      <c r="F1350" t="s">
        <v>32</v>
      </c>
      <c r="G1350" t="s">
        <v>10</v>
      </c>
    </row>
    <row r="1351" spans="1:7" x14ac:dyDescent="0.25">
      <c r="A1351" t="s">
        <v>265</v>
      </c>
      <c r="B1351">
        <v>781</v>
      </c>
      <c r="C1351">
        <v>594</v>
      </c>
      <c r="D1351">
        <v>6</v>
      </c>
      <c r="E1351" t="s">
        <v>8</v>
      </c>
      <c r="F1351" t="s">
        <v>18</v>
      </c>
      <c r="G1351" t="s">
        <v>82</v>
      </c>
    </row>
    <row r="1352" spans="1:7" x14ac:dyDescent="0.25">
      <c r="A1352" t="s">
        <v>308</v>
      </c>
      <c r="B1352">
        <v>25</v>
      </c>
      <c r="C1352">
        <v>-2</v>
      </c>
      <c r="D1352">
        <v>5</v>
      </c>
      <c r="E1352" t="s">
        <v>23</v>
      </c>
      <c r="F1352" t="s">
        <v>30</v>
      </c>
      <c r="G1352" t="s">
        <v>28</v>
      </c>
    </row>
    <row r="1353" spans="1:7" x14ac:dyDescent="0.25">
      <c r="A1353" t="s">
        <v>237</v>
      </c>
      <c r="B1353">
        <v>25</v>
      </c>
      <c r="C1353">
        <v>2</v>
      </c>
      <c r="D1353">
        <v>2</v>
      </c>
      <c r="E1353" t="s">
        <v>23</v>
      </c>
      <c r="F1353" t="s">
        <v>30</v>
      </c>
      <c r="G1353" t="s">
        <v>28</v>
      </c>
    </row>
    <row r="1354" spans="1:7" x14ac:dyDescent="0.25">
      <c r="A1354" t="s">
        <v>341</v>
      </c>
      <c r="B1354">
        <v>119</v>
      </c>
      <c r="C1354">
        <v>43</v>
      </c>
      <c r="D1354">
        <v>5</v>
      </c>
      <c r="E1354" t="s">
        <v>23</v>
      </c>
      <c r="F1354" t="s">
        <v>81</v>
      </c>
      <c r="G1354" t="s">
        <v>10</v>
      </c>
    </row>
    <row r="1355" spans="1:7" x14ac:dyDescent="0.25">
      <c r="A1355" t="s">
        <v>246</v>
      </c>
      <c r="B1355">
        <v>785</v>
      </c>
      <c r="C1355">
        <v>52</v>
      </c>
      <c r="D1355">
        <v>2</v>
      </c>
      <c r="E1355" t="s">
        <v>8</v>
      </c>
      <c r="F1355" t="s">
        <v>21</v>
      </c>
      <c r="G1355" t="s">
        <v>82</v>
      </c>
    </row>
    <row r="1356" spans="1:7" x14ac:dyDescent="0.25">
      <c r="A1356" t="s">
        <v>258</v>
      </c>
      <c r="B1356">
        <v>183</v>
      </c>
      <c r="C1356">
        <v>-66</v>
      </c>
      <c r="D1356">
        <v>5</v>
      </c>
      <c r="E1356" t="s">
        <v>8</v>
      </c>
      <c r="F1356" t="s">
        <v>21</v>
      </c>
      <c r="G1356" t="s">
        <v>28</v>
      </c>
    </row>
    <row r="1357" spans="1:7" x14ac:dyDescent="0.25">
      <c r="A1357" t="s">
        <v>332</v>
      </c>
      <c r="B1357">
        <v>22</v>
      </c>
      <c r="C1357">
        <v>4</v>
      </c>
      <c r="D1357">
        <v>1</v>
      </c>
      <c r="E1357" t="s">
        <v>23</v>
      </c>
      <c r="F1357" t="s">
        <v>57</v>
      </c>
      <c r="G1357" t="s">
        <v>10</v>
      </c>
    </row>
    <row r="1358" spans="1:7" x14ac:dyDescent="0.25">
      <c r="A1358" t="s">
        <v>106</v>
      </c>
      <c r="B1358">
        <v>642</v>
      </c>
      <c r="C1358">
        <v>180</v>
      </c>
      <c r="D1358">
        <v>5</v>
      </c>
      <c r="E1358" t="s">
        <v>23</v>
      </c>
      <c r="F1358" t="s">
        <v>26</v>
      </c>
      <c r="G1358" t="s">
        <v>10</v>
      </c>
    </row>
    <row r="1359" spans="1:7" x14ac:dyDescent="0.25">
      <c r="A1359" t="s">
        <v>276</v>
      </c>
      <c r="B1359">
        <v>767</v>
      </c>
      <c r="C1359">
        <v>-353</v>
      </c>
      <c r="D1359">
        <v>5</v>
      </c>
      <c r="E1359" t="s">
        <v>23</v>
      </c>
      <c r="F1359" t="s">
        <v>24</v>
      </c>
      <c r="G1359" t="s">
        <v>10</v>
      </c>
    </row>
    <row r="1360" spans="1:7" x14ac:dyDescent="0.25">
      <c r="A1360" t="s">
        <v>292</v>
      </c>
      <c r="B1360">
        <v>770</v>
      </c>
      <c r="C1360">
        <v>323</v>
      </c>
      <c r="D1360">
        <v>3</v>
      </c>
      <c r="E1360" t="s">
        <v>8</v>
      </c>
      <c r="F1360" t="s">
        <v>73</v>
      </c>
      <c r="G1360" t="s">
        <v>10</v>
      </c>
    </row>
    <row r="1361" spans="1:7" x14ac:dyDescent="0.25">
      <c r="A1361" t="s">
        <v>388</v>
      </c>
      <c r="B1361">
        <v>21</v>
      </c>
      <c r="C1361">
        <v>-17</v>
      </c>
      <c r="D1361">
        <v>3</v>
      </c>
      <c r="E1361" t="s">
        <v>23</v>
      </c>
      <c r="F1361" t="s">
        <v>142</v>
      </c>
      <c r="G1361" t="s">
        <v>10</v>
      </c>
    </row>
    <row r="1362" spans="1:7" x14ac:dyDescent="0.25">
      <c r="A1362" t="s">
        <v>337</v>
      </c>
      <c r="B1362">
        <v>21</v>
      </c>
      <c r="C1362">
        <v>-6</v>
      </c>
      <c r="D1362">
        <v>3</v>
      </c>
      <c r="E1362" t="s">
        <v>23</v>
      </c>
      <c r="F1362" t="s">
        <v>63</v>
      </c>
      <c r="G1362" t="s">
        <v>10</v>
      </c>
    </row>
    <row r="1363" spans="1:7" x14ac:dyDescent="0.25">
      <c r="A1363" t="s">
        <v>17</v>
      </c>
      <c r="B1363">
        <v>492</v>
      </c>
      <c r="C1363">
        <v>187</v>
      </c>
      <c r="D1363">
        <v>2</v>
      </c>
      <c r="E1363" t="s">
        <v>8</v>
      </c>
      <c r="F1363" t="s">
        <v>73</v>
      </c>
      <c r="G1363" t="s">
        <v>28</v>
      </c>
    </row>
    <row r="1364" spans="1:7" x14ac:dyDescent="0.25">
      <c r="A1364" t="s">
        <v>359</v>
      </c>
      <c r="B1364">
        <v>816</v>
      </c>
      <c r="C1364">
        <v>-96</v>
      </c>
      <c r="D1364">
        <v>3</v>
      </c>
      <c r="E1364" t="s">
        <v>8</v>
      </c>
      <c r="F1364" t="s">
        <v>18</v>
      </c>
      <c r="G1364" t="s">
        <v>82</v>
      </c>
    </row>
    <row r="1365" spans="1:7" x14ac:dyDescent="0.25">
      <c r="A1365" t="s">
        <v>270</v>
      </c>
      <c r="B1365">
        <v>25</v>
      </c>
      <c r="C1365">
        <v>2</v>
      </c>
      <c r="D1365">
        <v>3</v>
      </c>
      <c r="E1365" t="s">
        <v>23</v>
      </c>
      <c r="F1365" t="s">
        <v>32</v>
      </c>
      <c r="G1365" t="s">
        <v>19</v>
      </c>
    </row>
    <row r="1366" spans="1:7" x14ac:dyDescent="0.25">
      <c r="A1366" t="s">
        <v>306</v>
      </c>
      <c r="B1366">
        <v>802</v>
      </c>
      <c r="C1366">
        <v>120</v>
      </c>
      <c r="D1366">
        <v>7</v>
      </c>
      <c r="E1366" t="s">
        <v>8</v>
      </c>
      <c r="F1366" t="s">
        <v>73</v>
      </c>
      <c r="G1366" t="s">
        <v>10</v>
      </c>
    </row>
    <row r="1367" spans="1:7" x14ac:dyDescent="0.25">
      <c r="A1367" t="s">
        <v>515</v>
      </c>
      <c r="B1367">
        <v>811</v>
      </c>
      <c r="C1367">
        <v>154</v>
      </c>
      <c r="D1367">
        <v>7</v>
      </c>
      <c r="E1367" t="s">
        <v>8</v>
      </c>
      <c r="F1367" t="s">
        <v>73</v>
      </c>
      <c r="G1367" t="s">
        <v>28</v>
      </c>
    </row>
    <row r="1368" spans="1:7" x14ac:dyDescent="0.25">
      <c r="A1368" t="s">
        <v>458</v>
      </c>
      <c r="B1368">
        <v>835</v>
      </c>
      <c r="C1368">
        <v>267</v>
      </c>
      <c r="D1368">
        <v>5</v>
      </c>
      <c r="E1368" t="s">
        <v>8</v>
      </c>
      <c r="F1368" t="s">
        <v>21</v>
      </c>
      <c r="G1368" t="s">
        <v>82</v>
      </c>
    </row>
    <row r="1369" spans="1:7" x14ac:dyDescent="0.25">
      <c r="A1369" t="s">
        <v>279</v>
      </c>
      <c r="B1369">
        <v>21</v>
      </c>
      <c r="C1369">
        <v>-5</v>
      </c>
      <c r="D1369">
        <v>1</v>
      </c>
      <c r="E1369" t="s">
        <v>8</v>
      </c>
      <c r="F1369" t="s">
        <v>73</v>
      </c>
      <c r="G1369" t="s">
        <v>10</v>
      </c>
    </row>
    <row r="1370" spans="1:7" x14ac:dyDescent="0.25">
      <c r="A1370" t="s">
        <v>294</v>
      </c>
      <c r="B1370">
        <v>450</v>
      </c>
      <c r="C1370">
        <v>-190</v>
      </c>
      <c r="D1370">
        <v>4</v>
      </c>
      <c r="E1370" t="s">
        <v>12</v>
      </c>
      <c r="F1370" t="s">
        <v>16</v>
      </c>
      <c r="G1370" t="s">
        <v>10</v>
      </c>
    </row>
    <row r="1371" spans="1:7" x14ac:dyDescent="0.25">
      <c r="A1371" t="s">
        <v>307</v>
      </c>
      <c r="B1371">
        <v>24</v>
      </c>
      <c r="C1371">
        <v>-1</v>
      </c>
      <c r="D1371">
        <v>4</v>
      </c>
      <c r="E1371" t="s">
        <v>23</v>
      </c>
      <c r="F1371" t="s">
        <v>43</v>
      </c>
      <c r="G1371" t="s">
        <v>19</v>
      </c>
    </row>
    <row r="1372" spans="1:7" x14ac:dyDescent="0.25">
      <c r="A1372" t="s">
        <v>516</v>
      </c>
      <c r="B1372">
        <v>832</v>
      </c>
      <c r="C1372">
        <v>0</v>
      </c>
      <c r="D1372">
        <v>3</v>
      </c>
      <c r="E1372" t="s">
        <v>23</v>
      </c>
      <c r="F1372" t="s">
        <v>24</v>
      </c>
      <c r="G1372" t="s">
        <v>28</v>
      </c>
    </row>
    <row r="1373" spans="1:7" x14ac:dyDescent="0.25">
      <c r="A1373" t="s">
        <v>361</v>
      </c>
      <c r="B1373">
        <v>833</v>
      </c>
      <c r="C1373">
        <v>93</v>
      </c>
      <c r="D1373">
        <v>3</v>
      </c>
      <c r="E1373" t="s">
        <v>23</v>
      </c>
      <c r="F1373" t="s">
        <v>24</v>
      </c>
      <c r="G1373" t="s">
        <v>28</v>
      </c>
    </row>
    <row r="1374" spans="1:7" x14ac:dyDescent="0.25">
      <c r="A1374" t="s">
        <v>517</v>
      </c>
      <c r="B1374">
        <v>20</v>
      </c>
      <c r="C1374">
        <v>6</v>
      </c>
      <c r="D1374">
        <v>1</v>
      </c>
      <c r="E1374" t="s">
        <v>23</v>
      </c>
      <c r="F1374" t="s">
        <v>81</v>
      </c>
      <c r="G1374" t="s">
        <v>10</v>
      </c>
    </row>
    <row r="1375" spans="1:7" x14ac:dyDescent="0.25">
      <c r="A1375" t="s">
        <v>418</v>
      </c>
      <c r="B1375">
        <v>23</v>
      </c>
      <c r="C1375">
        <v>-5</v>
      </c>
      <c r="D1375">
        <v>7</v>
      </c>
      <c r="E1375" t="s">
        <v>23</v>
      </c>
      <c r="F1375" t="s">
        <v>30</v>
      </c>
      <c r="G1375" t="s">
        <v>19</v>
      </c>
    </row>
    <row r="1376" spans="1:7" x14ac:dyDescent="0.25">
      <c r="A1376" t="s">
        <v>171</v>
      </c>
      <c r="B1376">
        <v>550</v>
      </c>
      <c r="C1376">
        <v>-242</v>
      </c>
      <c r="D1376">
        <v>5</v>
      </c>
      <c r="E1376" t="s">
        <v>12</v>
      </c>
      <c r="F1376" t="s">
        <v>131</v>
      </c>
      <c r="G1376" t="s">
        <v>28</v>
      </c>
    </row>
    <row r="1377" spans="1:7" x14ac:dyDescent="0.25">
      <c r="A1377" t="s">
        <v>344</v>
      </c>
      <c r="B1377">
        <v>148</v>
      </c>
      <c r="C1377">
        <v>-91</v>
      </c>
      <c r="D1377">
        <v>2</v>
      </c>
      <c r="E1377" t="s">
        <v>8</v>
      </c>
      <c r="F1377" t="s">
        <v>21</v>
      </c>
      <c r="G1377" t="s">
        <v>10</v>
      </c>
    </row>
    <row r="1378" spans="1:7" x14ac:dyDescent="0.25">
      <c r="A1378" t="s">
        <v>178</v>
      </c>
      <c r="B1378">
        <v>846</v>
      </c>
      <c r="C1378">
        <v>9</v>
      </c>
      <c r="D1378">
        <v>2</v>
      </c>
      <c r="E1378" t="s">
        <v>12</v>
      </c>
      <c r="F1378" t="s">
        <v>13</v>
      </c>
      <c r="G1378" t="s">
        <v>82</v>
      </c>
    </row>
    <row r="1379" spans="1:7" x14ac:dyDescent="0.25">
      <c r="A1379" t="s">
        <v>87</v>
      </c>
      <c r="B1379">
        <v>856</v>
      </c>
      <c r="C1379">
        <v>385</v>
      </c>
      <c r="D1379">
        <v>6</v>
      </c>
      <c r="E1379" t="s">
        <v>8</v>
      </c>
      <c r="F1379" t="s">
        <v>18</v>
      </c>
      <c r="G1379" t="s">
        <v>10</v>
      </c>
    </row>
    <row r="1380" spans="1:7" x14ac:dyDescent="0.25">
      <c r="A1380" t="s">
        <v>374</v>
      </c>
      <c r="B1380">
        <v>871</v>
      </c>
      <c r="C1380">
        <v>131</v>
      </c>
      <c r="D1380">
        <v>2</v>
      </c>
      <c r="E1380" t="s">
        <v>12</v>
      </c>
      <c r="F1380" t="s">
        <v>16</v>
      </c>
      <c r="G1380" t="s">
        <v>28</v>
      </c>
    </row>
    <row r="1381" spans="1:7" x14ac:dyDescent="0.25">
      <c r="A1381" t="s">
        <v>211</v>
      </c>
      <c r="B1381">
        <v>19</v>
      </c>
      <c r="C1381">
        <v>-18</v>
      </c>
      <c r="D1381">
        <v>4</v>
      </c>
      <c r="E1381" t="s">
        <v>23</v>
      </c>
      <c r="F1381" t="s">
        <v>32</v>
      </c>
      <c r="G1381" t="s">
        <v>10</v>
      </c>
    </row>
    <row r="1382" spans="1:7" x14ac:dyDescent="0.25">
      <c r="A1382" t="s">
        <v>518</v>
      </c>
      <c r="B1382">
        <v>610</v>
      </c>
      <c r="C1382">
        <v>-66</v>
      </c>
      <c r="D1382">
        <v>2</v>
      </c>
      <c r="E1382" t="s">
        <v>12</v>
      </c>
      <c r="F1382" t="s">
        <v>45</v>
      </c>
      <c r="G1382" t="s">
        <v>10</v>
      </c>
    </row>
    <row r="1383" spans="1:7" x14ac:dyDescent="0.25">
      <c r="A1383" t="s">
        <v>359</v>
      </c>
      <c r="B1383">
        <v>880</v>
      </c>
      <c r="C1383">
        <v>97</v>
      </c>
      <c r="D1383">
        <v>8</v>
      </c>
      <c r="E1383" t="s">
        <v>12</v>
      </c>
      <c r="F1383" t="s">
        <v>131</v>
      </c>
      <c r="G1383" t="s">
        <v>82</v>
      </c>
    </row>
    <row r="1384" spans="1:7" x14ac:dyDescent="0.25">
      <c r="A1384" t="s">
        <v>132</v>
      </c>
      <c r="B1384">
        <v>22</v>
      </c>
      <c r="C1384">
        <v>-8</v>
      </c>
      <c r="D1384">
        <v>4</v>
      </c>
      <c r="E1384" t="s">
        <v>23</v>
      </c>
      <c r="F1384" t="s">
        <v>30</v>
      </c>
      <c r="G1384" t="s">
        <v>19</v>
      </c>
    </row>
    <row r="1385" spans="1:7" x14ac:dyDescent="0.25">
      <c r="A1385" t="s">
        <v>519</v>
      </c>
      <c r="B1385">
        <v>22</v>
      </c>
      <c r="C1385">
        <v>11</v>
      </c>
      <c r="D1385">
        <v>2</v>
      </c>
      <c r="E1385" t="s">
        <v>23</v>
      </c>
      <c r="F1385" t="s">
        <v>43</v>
      </c>
      <c r="G1385" t="s">
        <v>19</v>
      </c>
    </row>
    <row r="1386" spans="1:7" x14ac:dyDescent="0.25">
      <c r="A1386" t="s">
        <v>520</v>
      </c>
      <c r="B1386">
        <v>21</v>
      </c>
      <c r="C1386">
        <v>4</v>
      </c>
      <c r="D1386">
        <v>3</v>
      </c>
      <c r="E1386" t="s">
        <v>23</v>
      </c>
      <c r="F1386" t="s">
        <v>30</v>
      </c>
      <c r="G1386" t="s">
        <v>19</v>
      </c>
    </row>
    <row r="1387" spans="1:7" x14ac:dyDescent="0.25">
      <c r="A1387" t="s">
        <v>307</v>
      </c>
      <c r="B1387">
        <v>18</v>
      </c>
      <c r="C1387">
        <v>1</v>
      </c>
      <c r="D1387">
        <v>3</v>
      </c>
      <c r="E1387" t="s">
        <v>23</v>
      </c>
      <c r="F1387" t="s">
        <v>30</v>
      </c>
      <c r="G1387" t="s">
        <v>10</v>
      </c>
    </row>
    <row r="1388" spans="1:7" x14ac:dyDescent="0.25">
      <c r="A1388" t="s">
        <v>521</v>
      </c>
      <c r="B1388">
        <v>911</v>
      </c>
      <c r="C1388">
        <v>202</v>
      </c>
      <c r="D1388">
        <v>7</v>
      </c>
      <c r="E1388" t="s">
        <v>12</v>
      </c>
      <c r="F1388" t="s">
        <v>13</v>
      </c>
      <c r="G1388" t="s">
        <v>10</v>
      </c>
    </row>
    <row r="1389" spans="1:7" x14ac:dyDescent="0.25">
      <c r="A1389" t="s">
        <v>299</v>
      </c>
      <c r="B1389">
        <v>18</v>
      </c>
      <c r="C1389">
        <v>2</v>
      </c>
      <c r="D1389">
        <v>3</v>
      </c>
      <c r="E1389" t="s">
        <v>23</v>
      </c>
      <c r="F1389" t="s">
        <v>30</v>
      </c>
      <c r="G1389" t="s">
        <v>10</v>
      </c>
    </row>
    <row r="1390" spans="1:7" x14ac:dyDescent="0.25">
      <c r="A1390" t="s">
        <v>349</v>
      </c>
      <c r="B1390">
        <v>911</v>
      </c>
      <c r="C1390">
        <v>355</v>
      </c>
      <c r="D1390">
        <v>5</v>
      </c>
      <c r="E1390" t="s">
        <v>8</v>
      </c>
      <c r="F1390" t="s">
        <v>21</v>
      </c>
      <c r="G1390" t="s">
        <v>82</v>
      </c>
    </row>
    <row r="1391" spans="1:7" x14ac:dyDescent="0.25">
      <c r="A1391" t="s">
        <v>229</v>
      </c>
      <c r="B1391">
        <v>143</v>
      </c>
      <c r="C1391">
        <v>-129</v>
      </c>
      <c r="D1391">
        <v>2</v>
      </c>
      <c r="E1391" t="s">
        <v>8</v>
      </c>
      <c r="F1391" t="s">
        <v>21</v>
      </c>
      <c r="G1391" t="s">
        <v>10</v>
      </c>
    </row>
    <row r="1392" spans="1:7" x14ac:dyDescent="0.25">
      <c r="A1392" t="s">
        <v>130</v>
      </c>
      <c r="B1392">
        <v>918</v>
      </c>
      <c r="C1392">
        <v>22</v>
      </c>
      <c r="D1392">
        <v>9</v>
      </c>
      <c r="E1392" t="s">
        <v>8</v>
      </c>
      <c r="F1392" t="s">
        <v>9</v>
      </c>
      <c r="G1392" t="s">
        <v>10</v>
      </c>
    </row>
    <row r="1393" spans="1:7" x14ac:dyDescent="0.25">
      <c r="A1393" t="s">
        <v>135</v>
      </c>
      <c r="B1393">
        <v>925</v>
      </c>
      <c r="C1393">
        <v>-447</v>
      </c>
      <c r="D1393">
        <v>5</v>
      </c>
      <c r="E1393" t="s">
        <v>8</v>
      </c>
      <c r="F1393" t="s">
        <v>9</v>
      </c>
      <c r="G1393" t="s">
        <v>10</v>
      </c>
    </row>
    <row r="1394" spans="1:7" x14ac:dyDescent="0.25">
      <c r="A1394" t="s">
        <v>174</v>
      </c>
      <c r="B1394">
        <v>17</v>
      </c>
      <c r="C1394">
        <v>8</v>
      </c>
      <c r="D1394">
        <v>2</v>
      </c>
      <c r="E1394" t="s">
        <v>23</v>
      </c>
      <c r="F1394" t="s">
        <v>43</v>
      </c>
      <c r="G1394" t="s">
        <v>10</v>
      </c>
    </row>
    <row r="1395" spans="1:7" x14ac:dyDescent="0.25">
      <c r="A1395" t="s">
        <v>522</v>
      </c>
      <c r="B1395">
        <v>465</v>
      </c>
      <c r="C1395">
        <v>207</v>
      </c>
      <c r="D1395">
        <v>9</v>
      </c>
      <c r="E1395" t="s">
        <v>23</v>
      </c>
      <c r="F1395" t="s">
        <v>26</v>
      </c>
      <c r="G1395" t="s">
        <v>10</v>
      </c>
    </row>
    <row r="1396" spans="1:7" x14ac:dyDescent="0.25">
      <c r="A1396" t="s">
        <v>150</v>
      </c>
      <c r="B1396">
        <v>17</v>
      </c>
      <c r="C1396">
        <v>-9</v>
      </c>
      <c r="D1396">
        <v>3</v>
      </c>
      <c r="E1396" t="s">
        <v>23</v>
      </c>
      <c r="F1396" t="s">
        <v>57</v>
      </c>
      <c r="G1396" t="s">
        <v>10</v>
      </c>
    </row>
    <row r="1397" spans="1:7" x14ac:dyDescent="0.25">
      <c r="A1397" t="s">
        <v>133</v>
      </c>
      <c r="B1397">
        <v>935</v>
      </c>
      <c r="C1397">
        <v>114</v>
      </c>
      <c r="D1397">
        <v>4</v>
      </c>
      <c r="E1397" t="s">
        <v>8</v>
      </c>
      <c r="F1397" t="s">
        <v>9</v>
      </c>
      <c r="G1397" t="s">
        <v>28</v>
      </c>
    </row>
    <row r="1398" spans="1:7" x14ac:dyDescent="0.25">
      <c r="A1398" t="s">
        <v>119</v>
      </c>
      <c r="B1398">
        <v>16</v>
      </c>
      <c r="C1398">
        <v>-10</v>
      </c>
      <c r="D1398">
        <v>2</v>
      </c>
      <c r="E1398" t="s">
        <v>23</v>
      </c>
      <c r="F1398" t="s">
        <v>81</v>
      </c>
      <c r="G1398" t="s">
        <v>10</v>
      </c>
    </row>
    <row r="1399" spans="1:7" x14ac:dyDescent="0.25">
      <c r="A1399" t="s">
        <v>15</v>
      </c>
      <c r="B1399">
        <v>954</v>
      </c>
      <c r="C1399">
        <v>95</v>
      </c>
      <c r="D1399">
        <v>3</v>
      </c>
      <c r="E1399" t="s">
        <v>8</v>
      </c>
      <c r="F1399" t="s">
        <v>18</v>
      </c>
      <c r="G1399" t="s">
        <v>28</v>
      </c>
    </row>
    <row r="1400" spans="1:7" x14ac:dyDescent="0.25">
      <c r="A1400" t="s">
        <v>115</v>
      </c>
      <c r="B1400">
        <v>915</v>
      </c>
      <c r="C1400">
        <v>-99</v>
      </c>
      <c r="D1400">
        <v>3</v>
      </c>
      <c r="E1400" t="s">
        <v>12</v>
      </c>
      <c r="F1400" t="s">
        <v>45</v>
      </c>
      <c r="G1400" t="s">
        <v>82</v>
      </c>
    </row>
    <row r="1401" spans="1:7" x14ac:dyDescent="0.25">
      <c r="A1401" t="s">
        <v>330</v>
      </c>
      <c r="B1401">
        <v>955</v>
      </c>
      <c r="C1401">
        <v>305</v>
      </c>
      <c r="D1401">
        <v>3</v>
      </c>
      <c r="E1401" t="s">
        <v>8</v>
      </c>
      <c r="F1401" t="s">
        <v>18</v>
      </c>
      <c r="G1401" t="s">
        <v>82</v>
      </c>
    </row>
    <row r="1402" spans="1:7" x14ac:dyDescent="0.25">
      <c r="A1402" t="s">
        <v>64</v>
      </c>
      <c r="B1402">
        <v>976</v>
      </c>
      <c r="C1402">
        <v>293</v>
      </c>
      <c r="D1402">
        <v>4</v>
      </c>
      <c r="E1402" t="s">
        <v>8</v>
      </c>
      <c r="F1402" t="s">
        <v>73</v>
      </c>
      <c r="G1402" t="s">
        <v>10</v>
      </c>
    </row>
    <row r="1403" spans="1:7" x14ac:dyDescent="0.25">
      <c r="A1403" t="s">
        <v>344</v>
      </c>
      <c r="B1403">
        <v>1069</v>
      </c>
      <c r="C1403">
        <v>0</v>
      </c>
      <c r="D1403">
        <v>6</v>
      </c>
      <c r="E1403" t="s">
        <v>23</v>
      </c>
      <c r="F1403" t="s">
        <v>26</v>
      </c>
      <c r="G1403" t="s">
        <v>14</v>
      </c>
    </row>
    <row r="1404" spans="1:7" x14ac:dyDescent="0.25">
      <c r="A1404" t="s">
        <v>290</v>
      </c>
      <c r="B1404">
        <v>19</v>
      </c>
      <c r="C1404">
        <v>-15</v>
      </c>
      <c r="D1404">
        <v>3</v>
      </c>
      <c r="E1404" t="s">
        <v>23</v>
      </c>
      <c r="F1404" t="s">
        <v>30</v>
      </c>
      <c r="G1404" t="s">
        <v>19</v>
      </c>
    </row>
    <row r="1405" spans="1:7" x14ac:dyDescent="0.25">
      <c r="A1405" t="s">
        <v>321</v>
      </c>
      <c r="B1405">
        <v>16</v>
      </c>
      <c r="C1405">
        <v>6</v>
      </c>
      <c r="D1405">
        <v>3</v>
      </c>
      <c r="E1405" t="s">
        <v>23</v>
      </c>
      <c r="F1405" t="s">
        <v>30</v>
      </c>
      <c r="G1405" t="s">
        <v>10</v>
      </c>
    </row>
    <row r="1406" spans="1:7" x14ac:dyDescent="0.25">
      <c r="A1406" t="s">
        <v>100</v>
      </c>
      <c r="B1406">
        <v>1030</v>
      </c>
      <c r="C1406">
        <v>206</v>
      </c>
      <c r="D1406">
        <v>8</v>
      </c>
      <c r="E1406" t="s">
        <v>8</v>
      </c>
      <c r="F1406" t="s">
        <v>18</v>
      </c>
      <c r="G1406" t="s">
        <v>28</v>
      </c>
    </row>
    <row r="1407" spans="1:7" x14ac:dyDescent="0.25">
      <c r="A1407" t="s">
        <v>288</v>
      </c>
      <c r="B1407">
        <v>620</v>
      </c>
      <c r="C1407">
        <v>82</v>
      </c>
      <c r="D1407">
        <v>6</v>
      </c>
      <c r="E1407" t="s">
        <v>8</v>
      </c>
      <c r="F1407" t="s">
        <v>73</v>
      </c>
      <c r="G1407" t="s">
        <v>10</v>
      </c>
    </row>
    <row r="1408" spans="1:7" x14ac:dyDescent="0.25">
      <c r="A1408" t="s">
        <v>214</v>
      </c>
      <c r="B1408">
        <v>16</v>
      </c>
      <c r="C1408">
        <v>8</v>
      </c>
      <c r="D1408">
        <v>2</v>
      </c>
      <c r="E1408" t="s">
        <v>23</v>
      </c>
      <c r="F1408" t="s">
        <v>30</v>
      </c>
      <c r="G1408" t="s">
        <v>10</v>
      </c>
    </row>
    <row r="1409" spans="1:7" x14ac:dyDescent="0.25">
      <c r="A1409" t="s">
        <v>61</v>
      </c>
      <c r="B1409">
        <v>19</v>
      </c>
      <c r="C1409">
        <v>8</v>
      </c>
      <c r="D1409">
        <v>2</v>
      </c>
      <c r="E1409" t="s">
        <v>23</v>
      </c>
      <c r="F1409" t="s">
        <v>30</v>
      </c>
      <c r="G1409" t="s">
        <v>19</v>
      </c>
    </row>
    <row r="1410" spans="1:7" x14ac:dyDescent="0.25">
      <c r="A1410" t="s">
        <v>189</v>
      </c>
      <c r="B1410">
        <v>249</v>
      </c>
      <c r="C1410">
        <v>-130</v>
      </c>
      <c r="D1410">
        <v>4</v>
      </c>
      <c r="E1410" t="s">
        <v>8</v>
      </c>
      <c r="F1410" t="s">
        <v>21</v>
      </c>
      <c r="G1410" t="s">
        <v>28</v>
      </c>
    </row>
    <row r="1411" spans="1:7" x14ac:dyDescent="0.25">
      <c r="A1411" t="s">
        <v>523</v>
      </c>
      <c r="B1411">
        <v>16</v>
      </c>
      <c r="C1411">
        <v>6</v>
      </c>
      <c r="D1411">
        <v>1</v>
      </c>
      <c r="E1411" t="s">
        <v>23</v>
      </c>
      <c r="F1411" t="s">
        <v>57</v>
      </c>
      <c r="G1411" t="s">
        <v>10</v>
      </c>
    </row>
    <row r="1412" spans="1:7" x14ac:dyDescent="0.25">
      <c r="A1412" t="s">
        <v>127</v>
      </c>
      <c r="B1412">
        <v>1361</v>
      </c>
      <c r="C1412">
        <v>197</v>
      </c>
      <c r="D1412">
        <v>9</v>
      </c>
      <c r="E1412" t="s">
        <v>12</v>
      </c>
      <c r="F1412" t="s">
        <v>16</v>
      </c>
      <c r="G1412" t="s">
        <v>10</v>
      </c>
    </row>
    <row r="1413" spans="1:7" x14ac:dyDescent="0.25">
      <c r="A1413" t="s">
        <v>122</v>
      </c>
      <c r="B1413">
        <v>15</v>
      </c>
      <c r="C1413">
        <v>1</v>
      </c>
      <c r="D1413">
        <v>1</v>
      </c>
      <c r="E1413" t="s">
        <v>23</v>
      </c>
      <c r="F1413" t="s">
        <v>142</v>
      </c>
      <c r="G1413" t="s">
        <v>10</v>
      </c>
    </row>
    <row r="1414" spans="1:7" x14ac:dyDescent="0.25">
      <c r="A1414" t="s">
        <v>265</v>
      </c>
      <c r="B1414">
        <v>1076</v>
      </c>
      <c r="C1414">
        <v>-38</v>
      </c>
      <c r="D1414">
        <v>4</v>
      </c>
      <c r="E1414" t="s">
        <v>8</v>
      </c>
      <c r="F1414" t="s">
        <v>18</v>
      </c>
      <c r="G1414" t="s">
        <v>10</v>
      </c>
    </row>
    <row r="1415" spans="1:7" x14ac:dyDescent="0.25">
      <c r="A1415" t="s">
        <v>159</v>
      </c>
      <c r="B1415">
        <v>18</v>
      </c>
      <c r="C1415">
        <v>2</v>
      </c>
      <c r="D1415">
        <v>3</v>
      </c>
      <c r="E1415" t="s">
        <v>23</v>
      </c>
      <c r="F1415" t="s">
        <v>30</v>
      </c>
      <c r="G1415" t="s">
        <v>19</v>
      </c>
    </row>
    <row r="1416" spans="1:7" x14ac:dyDescent="0.25">
      <c r="A1416" t="s">
        <v>524</v>
      </c>
      <c r="B1416">
        <v>1101</v>
      </c>
      <c r="C1416">
        <v>352</v>
      </c>
      <c r="D1416">
        <v>3</v>
      </c>
      <c r="E1416" t="s">
        <v>12</v>
      </c>
      <c r="F1416" t="s">
        <v>16</v>
      </c>
      <c r="G1416" t="s">
        <v>28</v>
      </c>
    </row>
    <row r="1417" spans="1:7" x14ac:dyDescent="0.25">
      <c r="A1417" t="s">
        <v>180</v>
      </c>
      <c r="B1417">
        <v>15</v>
      </c>
      <c r="C1417">
        <v>2</v>
      </c>
      <c r="D1417">
        <v>1</v>
      </c>
      <c r="E1417" t="s">
        <v>23</v>
      </c>
      <c r="F1417" t="s">
        <v>63</v>
      </c>
      <c r="G1417" t="s">
        <v>10</v>
      </c>
    </row>
    <row r="1418" spans="1:7" x14ac:dyDescent="0.25">
      <c r="A1418" t="s">
        <v>55</v>
      </c>
      <c r="B1418">
        <v>1104</v>
      </c>
      <c r="C1418">
        <v>209</v>
      </c>
      <c r="D1418">
        <v>4</v>
      </c>
      <c r="E1418" t="s">
        <v>23</v>
      </c>
      <c r="F1418" t="s">
        <v>24</v>
      </c>
      <c r="G1418" t="s">
        <v>28</v>
      </c>
    </row>
    <row r="1419" spans="1:7" x14ac:dyDescent="0.25">
      <c r="A1419" t="s">
        <v>155</v>
      </c>
      <c r="B1419">
        <v>14</v>
      </c>
      <c r="C1419">
        <v>2</v>
      </c>
      <c r="D1419">
        <v>1</v>
      </c>
      <c r="E1419" t="s">
        <v>23</v>
      </c>
      <c r="F1419" t="s">
        <v>30</v>
      </c>
      <c r="G1419" t="s">
        <v>10</v>
      </c>
    </row>
    <row r="1420" spans="1:7" x14ac:dyDescent="0.25">
      <c r="A1420" t="s">
        <v>104</v>
      </c>
      <c r="B1420">
        <v>14</v>
      </c>
      <c r="C1420">
        <v>5</v>
      </c>
      <c r="D1420">
        <v>1</v>
      </c>
      <c r="E1420" t="s">
        <v>23</v>
      </c>
      <c r="F1420" t="s">
        <v>30</v>
      </c>
      <c r="G1420" t="s">
        <v>10</v>
      </c>
    </row>
    <row r="1421" spans="1:7" x14ac:dyDescent="0.25">
      <c r="A1421" t="s">
        <v>262</v>
      </c>
      <c r="B1421">
        <v>14</v>
      </c>
      <c r="C1421">
        <v>-3</v>
      </c>
      <c r="D1421">
        <v>2</v>
      </c>
      <c r="E1421" t="s">
        <v>23</v>
      </c>
      <c r="F1421" t="s">
        <v>63</v>
      </c>
      <c r="G1421" t="s">
        <v>10</v>
      </c>
    </row>
    <row r="1422" spans="1:7" x14ac:dyDescent="0.25">
      <c r="A1422" t="s">
        <v>27</v>
      </c>
      <c r="B1422">
        <v>14</v>
      </c>
      <c r="C1422">
        <v>-1</v>
      </c>
      <c r="D1422">
        <v>4</v>
      </c>
      <c r="E1422" t="s">
        <v>23</v>
      </c>
      <c r="F1422" t="s">
        <v>32</v>
      </c>
      <c r="G1422" t="s">
        <v>10</v>
      </c>
    </row>
    <row r="1423" spans="1:7" x14ac:dyDescent="0.25">
      <c r="A1423" t="s">
        <v>62</v>
      </c>
      <c r="B1423">
        <v>13</v>
      </c>
      <c r="C1423">
        <v>-8</v>
      </c>
      <c r="D1423">
        <v>1</v>
      </c>
      <c r="E1423" t="s">
        <v>23</v>
      </c>
      <c r="F1423" t="s">
        <v>81</v>
      </c>
      <c r="G1423" t="s">
        <v>10</v>
      </c>
    </row>
    <row r="1424" spans="1:7" x14ac:dyDescent="0.25">
      <c r="A1424" t="s">
        <v>123</v>
      </c>
      <c r="B1424">
        <v>13</v>
      </c>
      <c r="C1424">
        <v>-1</v>
      </c>
      <c r="D1424">
        <v>3</v>
      </c>
      <c r="E1424" t="s">
        <v>23</v>
      </c>
      <c r="F1424" t="s">
        <v>30</v>
      </c>
      <c r="G1424" t="s">
        <v>10</v>
      </c>
    </row>
    <row r="1425" spans="1:7" x14ac:dyDescent="0.25">
      <c r="A1425" t="s">
        <v>346</v>
      </c>
      <c r="B1425">
        <v>1275</v>
      </c>
      <c r="C1425">
        <v>1148</v>
      </c>
      <c r="D1425">
        <v>7</v>
      </c>
      <c r="E1425" t="s">
        <v>12</v>
      </c>
      <c r="F1425" t="s">
        <v>16</v>
      </c>
      <c r="G1425" t="s">
        <v>14</v>
      </c>
    </row>
    <row r="1426" spans="1:7" x14ac:dyDescent="0.25">
      <c r="A1426" t="s">
        <v>167</v>
      </c>
      <c r="B1426">
        <v>17</v>
      </c>
      <c r="C1426">
        <v>1</v>
      </c>
      <c r="D1426">
        <v>2</v>
      </c>
      <c r="E1426" t="s">
        <v>23</v>
      </c>
      <c r="F1426" t="s">
        <v>43</v>
      </c>
      <c r="G1426" t="s">
        <v>19</v>
      </c>
    </row>
    <row r="1427" spans="1:7" x14ac:dyDescent="0.25">
      <c r="A1427" t="s">
        <v>49</v>
      </c>
      <c r="B1427">
        <v>13</v>
      </c>
      <c r="C1427">
        <v>0</v>
      </c>
      <c r="D1427">
        <v>2</v>
      </c>
      <c r="E1427" t="s">
        <v>23</v>
      </c>
      <c r="F1427" t="s">
        <v>30</v>
      </c>
      <c r="G1427" t="s">
        <v>10</v>
      </c>
    </row>
    <row r="1428" spans="1:7" x14ac:dyDescent="0.25">
      <c r="A1428" t="s">
        <v>235</v>
      </c>
      <c r="B1428">
        <v>1270</v>
      </c>
      <c r="C1428">
        <v>546</v>
      </c>
      <c r="D1428">
        <v>11</v>
      </c>
      <c r="E1428" t="s">
        <v>8</v>
      </c>
      <c r="F1428" t="s">
        <v>9</v>
      </c>
      <c r="G1428" t="s">
        <v>14</v>
      </c>
    </row>
    <row r="1429" spans="1:7" x14ac:dyDescent="0.25">
      <c r="A1429" t="s">
        <v>137</v>
      </c>
      <c r="B1429">
        <v>13</v>
      </c>
      <c r="C1429">
        <v>-2</v>
      </c>
      <c r="D1429">
        <v>1</v>
      </c>
      <c r="E1429" t="s">
        <v>23</v>
      </c>
      <c r="F1429" t="s">
        <v>57</v>
      </c>
      <c r="G1429" t="s">
        <v>10</v>
      </c>
    </row>
    <row r="1430" spans="1:7" x14ac:dyDescent="0.25">
      <c r="A1430" t="s">
        <v>525</v>
      </c>
      <c r="B1430">
        <v>13</v>
      </c>
      <c r="C1430">
        <v>3</v>
      </c>
      <c r="D1430">
        <v>1</v>
      </c>
      <c r="E1430" t="s">
        <v>23</v>
      </c>
      <c r="F1430" t="s">
        <v>63</v>
      </c>
      <c r="G1430" t="s">
        <v>10</v>
      </c>
    </row>
    <row r="1431" spans="1:7" x14ac:dyDescent="0.25">
      <c r="A1431" t="s">
        <v>382</v>
      </c>
      <c r="B1431">
        <v>17</v>
      </c>
      <c r="C1431">
        <v>5</v>
      </c>
      <c r="D1431">
        <v>1</v>
      </c>
      <c r="E1431" t="s">
        <v>23</v>
      </c>
      <c r="F1431" t="s">
        <v>30</v>
      </c>
      <c r="G1431" t="s">
        <v>28</v>
      </c>
    </row>
    <row r="1432" spans="1:7" x14ac:dyDescent="0.25">
      <c r="A1432" t="s">
        <v>112</v>
      </c>
      <c r="B1432">
        <v>13</v>
      </c>
      <c r="C1432">
        <v>-13</v>
      </c>
      <c r="D1432">
        <v>2</v>
      </c>
      <c r="E1432" t="s">
        <v>23</v>
      </c>
      <c r="F1432" t="s">
        <v>43</v>
      </c>
      <c r="G1432" t="s">
        <v>10</v>
      </c>
    </row>
    <row r="1433" spans="1:7" x14ac:dyDescent="0.25">
      <c r="A1433" t="s">
        <v>371</v>
      </c>
      <c r="B1433">
        <v>13</v>
      </c>
      <c r="C1433">
        <v>-9</v>
      </c>
      <c r="D1433">
        <v>2</v>
      </c>
      <c r="E1433" t="s">
        <v>23</v>
      </c>
      <c r="F1433" t="s">
        <v>43</v>
      </c>
      <c r="G1433" t="s">
        <v>10</v>
      </c>
    </row>
    <row r="1434" spans="1:7" x14ac:dyDescent="0.25">
      <c r="A1434" t="s">
        <v>158</v>
      </c>
      <c r="B1434">
        <v>1263</v>
      </c>
      <c r="C1434">
        <v>-56</v>
      </c>
      <c r="D1434">
        <v>5</v>
      </c>
      <c r="E1434" t="s">
        <v>23</v>
      </c>
      <c r="F1434" t="s">
        <v>24</v>
      </c>
      <c r="G1434" t="s">
        <v>14</v>
      </c>
    </row>
    <row r="1435" spans="1:7" x14ac:dyDescent="0.25">
      <c r="A1435" t="s">
        <v>526</v>
      </c>
      <c r="B1435">
        <v>1629</v>
      </c>
      <c r="C1435">
        <v>-153</v>
      </c>
      <c r="D1435">
        <v>3</v>
      </c>
      <c r="E1435" t="s">
        <v>8</v>
      </c>
      <c r="F1435" t="s">
        <v>21</v>
      </c>
      <c r="G1435" t="s">
        <v>10</v>
      </c>
    </row>
    <row r="1436" spans="1:7" x14ac:dyDescent="0.25">
      <c r="A1436" t="s">
        <v>104</v>
      </c>
      <c r="B1436">
        <v>17</v>
      </c>
      <c r="C1436">
        <v>7</v>
      </c>
      <c r="D1436">
        <v>3</v>
      </c>
      <c r="E1436" t="s">
        <v>23</v>
      </c>
      <c r="F1436" t="s">
        <v>30</v>
      </c>
      <c r="G1436" t="s">
        <v>28</v>
      </c>
    </row>
    <row r="1437" spans="1:7" x14ac:dyDescent="0.25">
      <c r="A1437" t="s">
        <v>60</v>
      </c>
      <c r="B1437">
        <v>17</v>
      </c>
      <c r="C1437">
        <v>2</v>
      </c>
      <c r="D1437">
        <v>2</v>
      </c>
      <c r="E1437" t="s">
        <v>23</v>
      </c>
      <c r="F1437" t="s">
        <v>43</v>
      </c>
      <c r="G1437" t="s">
        <v>28</v>
      </c>
    </row>
    <row r="1438" spans="1:7" x14ac:dyDescent="0.25">
      <c r="A1438" t="s">
        <v>11</v>
      </c>
      <c r="B1438">
        <v>1250</v>
      </c>
      <c r="C1438">
        <v>-12</v>
      </c>
      <c r="D1438">
        <v>2</v>
      </c>
      <c r="E1438" t="s">
        <v>8</v>
      </c>
      <c r="F1438" t="s">
        <v>18</v>
      </c>
      <c r="G1438" t="s">
        <v>14</v>
      </c>
    </row>
    <row r="1439" spans="1:7" x14ac:dyDescent="0.25">
      <c r="A1439" t="s">
        <v>39</v>
      </c>
      <c r="B1439">
        <v>17</v>
      </c>
      <c r="C1439">
        <v>-11</v>
      </c>
      <c r="D1439">
        <v>3</v>
      </c>
      <c r="E1439" t="s">
        <v>23</v>
      </c>
      <c r="F1439" t="s">
        <v>43</v>
      </c>
      <c r="G1439" t="s">
        <v>28</v>
      </c>
    </row>
    <row r="1440" spans="1:7" x14ac:dyDescent="0.25">
      <c r="A1440" t="s">
        <v>385</v>
      </c>
      <c r="B1440">
        <v>977</v>
      </c>
      <c r="C1440">
        <v>-244</v>
      </c>
      <c r="D1440">
        <v>7</v>
      </c>
      <c r="E1440" t="s">
        <v>8</v>
      </c>
      <c r="F1440" t="s">
        <v>21</v>
      </c>
      <c r="G1440" t="s">
        <v>10</v>
      </c>
    </row>
    <row r="1441" spans="1:7" x14ac:dyDescent="0.25">
      <c r="A1441" t="s">
        <v>527</v>
      </c>
      <c r="B1441">
        <v>1246</v>
      </c>
      <c r="C1441">
        <v>62</v>
      </c>
      <c r="D1441">
        <v>3</v>
      </c>
      <c r="E1441" t="s">
        <v>12</v>
      </c>
      <c r="F1441" t="s">
        <v>16</v>
      </c>
      <c r="G1441" t="s">
        <v>14</v>
      </c>
    </row>
    <row r="1442" spans="1:7" x14ac:dyDescent="0.25">
      <c r="A1442" t="s">
        <v>300</v>
      </c>
      <c r="B1442">
        <v>12</v>
      </c>
      <c r="C1442">
        <v>1</v>
      </c>
      <c r="D1442">
        <v>2</v>
      </c>
      <c r="E1442" t="s">
        <v>23</v>
      </c>
      <c r="F1442" t="s">
        <v>30</v>
      </c>
      <c r="G1442" t="s">
        <v>10</v>
      </c>
    </row>
    <row r="1443" spans="1:7" x14ac:dyDescent="0.25">
      <c r="A1443" t="s">
        <v>119</v>
      </c>
      <c r="B1443">
        <v>11</v>
      </c>
      <c r="C1443">
        <v>-4</v>
      </c>
      <c r="D1443">
        <v>2</v>
      </c>
      <c r="E1443" t="s">
        <v>23</v>
      </c>
      <c r="F1443" t="s">
        <v>43</v>
      </c>
      <c r="G1443" t="s">
        <v>10</v>
      </c>
    </row>
    <row r="1444" spans="1:7" x14ac:dyDescent="0.25">
      <c r="A1444" t="s">
        <v>117</v>
      </c>
      <c r="B1444">
        <v>1327</v>
      </c>
      <c r="C1444">
        <v>318</v>
      </c>
      <c r="D1444">
        <v>8</v>
      </c>
      <c r="E1444" t="s">
        <v>12</v>
      </c>
      <c r="F1444" t="s">
        <v>13</v>
      </c>
      <c r="G1444" t="s">
        <v>14</v>
      </c>
    </row>
    <row r="1445" spans="1:7" x14ac:dyDescent="0.25">
      <c r="A1445" t="s">
        <v>171</v>
      </c>
      <c r="B1445">
        <v>1319</v>
      </c>
      <c r="C1445">
        <v>567</v>
      </c>
      <c r="D1445">
        <v>5</v>
      </c>
      <c r="E1445" t="s">
        <v>8</v>
      </c>
      <c r="F1445" t="s">
        <v>18</v>
      </c>
      <c r="G1445" t="s">
        <v>10</v>
      </c>
    </row>
    <row r="1446" spans="1:7" x14ac:dyDescent="0.25">
      <c r="A1446" t="s">
        <v>307</v>
      </c>
      <c r="B1446">
        <v>1402</v>
      </c>
      <c r="C1446">
        <v>109</v>
      </c>
      <c r="D1446">
        <v>11</v>
      </c>
      <c r="E1446" t="s">
        <v>23</v>
      </c>
      <c r="F1446" t="s">
        <v>26</v>
      </c>
      <c r="G1446" t="s">
        <v>14</v>
      </c>
    </row>
    <row r="1447" spans="1:7" x14ac:dyDescent="0.25">
      <c r="A1447" t="s">
        <v>253</v>
      </c>
      <c r="B1447">
        <v>1514</v>
      </c>
      <c r="C1447">
        <v>742</v>
      </c>
      <c r="D1447">
        <v>4</v>
      </c>
      <c r="E1447" t="s">
        <v>8</v>
      </c>
      <c r="F1447" t="s">
        <v>18</v>
      </c>
      <c r="G1447" t="s">
        <v>14</v>
      </c>
    </row>
    <row r="1448" spans="1:7" x14ac:dyDescent="0.25">
      <c r="A1448" t="s">
        <v>22</v>
      </c>
      <c r="B1448">
        <v>1351</v>
      </c>
      <c r="C1448">
        <v>111</v>
      </c>
      <c r="D1448">
        <v>6</v>
      </c>
      <c r="E1448" t="s">
        <v>8</v>
      </c>
      <c r="F1448" t="s">
        <v>9</v>
      </c>
      <c r="G1448" t="s">
        <v>10</v>
      </c>
    </row>
    <row r="1449" spans="1:7" x14ac:dyDescent="0.25">
      <c r="A1449" t="s">
        <v>149</v>
      </c>
      <c r="B1449">
        <v>1355</v>
      </c>
      <c r="C1449">
        <v>-60</v>
      </c>
      <c r="D1449">
        <v>5</v>
      </c>
      <c r="E1449" t="s">
        <v>23</v>
      </c>
      <c r="F1449" t="s">
        <v>24</v>
      </c>
      <c r="G1449" t="s">
        <v>10</v>
      </c>
    </row>
    <row r="1450" spans="1:7" x14ac:dyDescent="0.25">
      <c r="A1450" t="s">
        <v>31</v>
      </c>
      <c r="B1450">
        <v>10</v>
      </c>
      <c r="C1450">
        <v>2</v>
      </c>
      <c r="D1450">
        <v>2</v>
      </c>
      <c r="E1450" t="s">
        <v>23</v>
      </c>
      <c r="F1450" t="s">
        <v>30</v>
      </c>
      <c r="G1450" t="s">
        <v>10</v>
      </c>
    </row>
    <row r="1451" spans="1:7" x14ac:dyDescent="0.25">
      <c r="A1451" t="s">
        <v>59</v>
      </c>
      <c r="B1451">
        <v>10</v>
      </c>
      <c r="C1451">
        <v>-2</v>
      </c>
      <c r="D1451">
        <v>2</v>
      </c>
      <c r="E1451" t="s">
        <v>23</v>
      </c>
      <c r="F1451" t="s">
        <v>63</v>
      </c>
      <c r="G1451" t="s">
        <v>10</v>
      </c>
    </row>
    <row r="1452" spans="1:7" x14ac:dyDescent="0.25">
      <c r="A1452" t="s">
        <v>528</v>
      </c>
      <c r="B1452">
        <v>1582</v>
      </c>
      <c r="C1452">
        <v>-443</v>
      </c>
      <c r="D1452">
        <v>6</v>
      </c>
      <c r="E1452" t="s">
        <v>23</v>
      </c>
      <c r="F1452" t="s">
        <v>24</v>
      </c>
      <c r="G1452" t="s">
        <v>14</v>
      </c>
    </row>
    <row r="1453" spans="1:7" x14ac:dyDescent="0.25">
      <c r="A1453" t="s">
        <v>132</v>
      </c>
      <c r="B1453">
        <v>1218</v>
      </c>
      <c r="C1453">
        <v>352</v>
      </c>
      <c r="D1453">
        <v>9</v>
      </c>
      <c r="E1453" t="s">
        <v>12</v>
      </c>
      <c r="F1453" t="s">
        <v>16</v>
      </c>
      <c r="G1453" t="s">
        <v>14</v>
      </c>
    </row>
    <row r="1454" spans="1:7" x14ac:dyDescent="0.25">
      <c r="A1454" t="s">
        <v>67</v>
      </c>
      <c r="B1454">
        <v>321</v>
      </c>
      <c r="C1454">
        <v>315</v>
      </c>
      <c r="D1454">
        <v>5</v>
      </c>
      <c r="E1454" t="s">
        <v>23</v>
      </c>
      <c r="F1454" t="s">
        <v>26</v>
      </c>
      <c r="G1454" t="s">
        <v>28</v>
      </c>
    </row>
    <row r="1455" spans="1:7" x14ac:dyDescent="0.25">
      <c r="A1455" t="s">
        <v>207</v>
      </c>
      <c r="B1455">
        <v>736</v>
      </c>
      <c r="C1455">
        <v>346</v>
      </c>
      <c r="D1455">
        <v>5</v>
      </c>
      <c r="E1455" t="s">
        <v>8</v>
      </c>
      <c r="F1455" t="s">
        <v>18</v>
      </c>
      <c r="G1455" t="s">
        <v>10</v>
      </c>
    </row>
    <row r="1456" spans="1:7" x14ac:dyDescent="0.25">
      <c r="A1456" t="s">
        <v>11</v>
      </c>
      <c r="B1456">
        <v>1218</v>
      </c>
      <c r="C1456">
        <v>-420</v>
      </c>
      <c r="D1456">
        <v>8</v>
      </c>
      <c r="E1456" t="s">
        <v>12</v>
      </c>
      <c r="F1456" t="s">
        <v>16</v>
      </c>
      <c r="G1456" t="s">
        <v>10</v>
      </c>
    </row>
    <row r="1457" spans="1:7" x14ac:dyDescent="0.25">
      <c r="A1457" t="s">
        <v>171</v>
      </c>
      <c r="B1457">
        <v>1027</v>
      </c>
      <c r="C1457">
        <v>441</v>
      </c>
      <c r="D1457">
        <v>8</v>
      </c>
      <c r="E1457" t="s">
        <v>23</v>
      </c>
      <c r="F1457" t="s">
        <v>26</v>
      </c>
      <c r="G1457" t="s">
        <v>10</v>
      </c>
    </row>
    <row r="1458" spans="1:7" x14ac:dyDescent="0.25">
      <c r="A1458" t="s">
        <v>255</v>
      </c>
      <c r="B1458">
        <v>10</v>
      </c>
      <c r="C1458">
        <v>5</v>
      </c>
      <c r="D1458">
        <v>1</v>
      </c>
      <c r="E1458" t="s">
        <v>23</v>
      </c>
      <c r="F1458" t="s">
        <v>57</v>
      </c>
      <c r="G1458" t="s">
        <v>10</v>
      </c>
    </row>
    <row r="1459" spans="1:7" x14ac:dyDescent="0.25">
      <c r="A1459" t="s">
        <v>458</v>
      </c>
      <c r="B1459">
        <v>2366</v>
      </c>
      <c r="C1459">
        <v>552</v>
      </c>
      <c r="D1459">
        <v>5</v>
      </c>
      <c r="E1459" t="s">
        <v>23</v>
      </c>
      <c r="F1459" t="s">
        <v>24</v>
      </c>
      <c r="G1459" t="s">
        <v>28</v>
      </c>
    </row>
    <row r="1460" spans="1:7" x14ac:dyDescent="0.25">
      <c r="A1460" t="s">
        <v>308</v>
      </c>
      <c r="B1460">
        <v>9</v>
      </c>
      <c r="C1460">
        <v>-6</v>
      </c>
      <c r="D1460">
        <v>2</v>
      </c>
      <c r="E1460" t="s">
        <v>23</v>
      </c>
      <c r="F1460" t="s">
        <v>30</v>
      </c>
      <c r="G1460" t="s">
        <v>10</v>
      </c>
    </row>
    <row r="1461" spans="1:7" x14ac:dyDescent="0.25">
      <c r="A1461" t="s">
        <v>66</v>
      </c>
      <c r="B1461">
        <v>16</v>
      </c>
      <c r="C1461">
        <v>-12</v>
      </c>
      <c r="D1461">
        <v>2</v>
      </c>
      <c r="E1461" t="s">
        <v>23</v>
      </c>
      <c r="F1461" t="s">
        <v>57</v>
      </c>
      <c r="G1461" t="s">
        <v>28</v>
      </c>
    </row>
    <row r="1462" spans="1:7" x14ac:dyDescent="0.25">
      <c r="A1462" t="s">
        <v>458</v>
      </c>
      <c r="B1462">
        <v>9</v>
      </c>
      <c r="C1462">
        <v>3</v>
      </c>
      <c r="D1462">
        <v>1</v>
      </c>
      <c r="E1462" t="s">
        <v>23</v>
      </c>
      <c r="F1462" t="s">
        <v>43</v>
      </c>
      <c r="G1462" t="s">
        <v>10</v>
      </c>
    </row>
    <row r="1463" spans="1:7" x14ac:dyDescent="0.25">
      <c r="A1463" t="s">
        <v>529</v>
      </c>
      <c r="B1463">
        <v>1560</v>
      </c>
      <c r="C1463">
        <v>421</v>
      </c>
      <c r="D1463">
        <v>3</v>
      </c>
      <c r="E1463" t="s">
        <v>23</v>
      </c>
      <c r="F1463" t="s">
        <v>24</v>
      </c>
      <c r="G1463" t="s">
        <v>10</v>
      </c>
    </row>
    <row r="1464" spans="1:7" x14ac:dyDescent="0.25">
      <c r="A1464" t="s">
        <v>196</v>
      </c>
      <c r="B1464">
        <v>1137</v>
      </c>
      <c r="C1464">
        <v>568</v>
      </c>
      <c r="D1464">
        <v>2</v>
      </c>
      <c r="E1464" t="s">
        <v>23</v>
      </c>
      <c r="F1464" t="s">
        <v>24</v>
      </c>
      <c r="G1464" t="s">
        <v>14</v>
      </c>
    </row>
    <row r="1465" spans="1:7" x14ac:dyDescent="0.25">
      <c r="A1465" t="s">
        <v>284</v>
      </c>
      <c r="B1465">
        <v>9</v>
      </c>
      <c r="C1465">
        <v>-9</v>
      </c>
      <c r="D1465">
        <v>2</v>
      </c>
      <c r="E1465" t="s">
        <v>23</v>
      </c>
      <c r="F1465" t="s">
        <v>32</v>
      </c>
      <c r="G1465" t="s">
        <v>10</v>
      </c>
    </row>
    <row r="1466" spans="1:7" x14ac:dyDescent="0.25">
      <c r="A1466" t="s">
        <v>42</v>
      </c>
      <c r="B1466">
        <v>15</v>
      </c>
      <c r="C1466">
        <v>-7</v>
      </c>
      <c r="D1466">
        <v>1</v>
      </c>
      <c r="E1466" t="s">
        <v>23</v>
      </c>
      <c r="F1466" t="s">
        <v>30</v>
      </c>
      <c r="G1466" t="s">
        <v>28</v>
      </c>
    </row>
    <row r="1467" spans="1:7" x14ac:dyDescent="0.25">
      <c r="A1467" t="s">
        <v>61</v>
      </c>
      <c r="B1467">
        <v>14</v>
      </c>
      <c r="C1467">
        <v>5</v>
      </c>
      <c r="D1467">
        <v>1</v>
      </c>
      <c r="E1467" t="s">
        <v>23</v>
      </c>
      <c r="F1467" t="s">
        <v>30</v>
      </c>
      <c r="G1467" t="s">
        <v>28</v>
      </c>
    </row>
    <row r="1468" spans="1:7" x14ac:dyDescent="0.25">
      <c r="A1468" t="s">
        <v>169</v>
      </c>
      <c r="B1468">
        <v>14</v>
      </c>
      <c r="C1468">
        <v>7</v>
      </c>
      <c r="D1468">
        <v>2</v>
      </c>
      <c r="E1468" t="s">
        <v>23</v>
      </c>
      <c r="F1468" t="s">
        <v>30</v>
      </c>
      <c r="G1468" t="s">
        <v>28</v>
      </c>
    </row>
    <row r="1469" spans="1:7" x14ac:dyDescent="0.25">
      <c r="A1469" t="s">
        <v>127</v>
      </c>
      <c r="B1469">
        <v>8</v>
      </c>
      <c r="C1469">
        <v>-2</v>
      </c>
      <c r="D1469">
        <v>2</v>
      </c>
      <c r="E1469" t="s">
        <v>23</v>
      </c>
      <c r="F1469" t="s">
        <v>30</v>
      </c>
      <c r="G1469" t="s">
        <v>10</v>
      </c>
    </row>
    <row r="1470" spans="1:7" x14ac:dyDescent="0.25">
      <c r="A1470" t="s">
        <v>123</v>
      </c>
      <c r="B1470">
        <v>1389</v>
      </c>
      <c r="C1470">
        <v>680</v>
      </c>
      <c r="D1470">
        <v>7</v>
      </c>
      <c r="E1470" t="s">
        <v>23</v>
      </c>
      <c r="F1470" t="s">
        <v>26</v>
      </c>
      <c r="G1470" t="s">
        <v>10</v>
      </c>
    </row>
    <row r="1471" spans="1:7" x14ac:dyDescent="0.25">
      <c r="A1471" t="s">
        <v>326</v>
      </c>
      <c r="B1471">
        <v>8</v>
      </c>
      <c r="C1471">
        <v>-1</v>
      </c>
      <c r="D1471">
        <v>2</v>
      </c>
      <c r="E1471" t="s">
        <v>23</v>
      </c>
      <c r="F1471" t="s">
        <v>63</v>
      </c>
      <c r="G1471" t="s">
        <v>10</v>
      </c>
    </row>
    <row r="1472" spans="1:7" x14ac:dyDescent="0.25">
      <c r="A1472" t="s">
        <v>530</v>
      </c>
      <c r="B1472">
        <v>8</v>
      </c>
      <c r="C1472">
        <v>-2</v>
      </c>
      <c r="D1472">
        <v>1</v>
      </c>
      <c r="E1472" t="s">
        <v>23</v>
      </c>
      <c r="F1472" t="s">
        <v>57</v>
      </c>
      <c r="G1472" t="s">
        <v>10</v>
      </c>
    </row>
    <row r="1473" spans="1:7" x14ac:dyDescent="0.25">
      <c r="A1473" t="s">
        <v>46</v>
      </c>
      <c r="B1473">
        <v>13</v>
      </c>
      <c r="C1473">
        <v>4</v>
      </c>
      <c r="D1473">
        <v>1</v>
      </c>
      <c r="E1473" t="s">
        <v>23</v>
      </c>
      <c r="F1473" t="s">
        <v>63</v>
      </c>
      <c r="G1473" t="s">
        <v>28</v>
      </c>
    </row>
    <row r="1474" spans="1:7" x14ac:dyDescent="0.25">
      <c r="A1474" t="s">
        <v>531</v>
      </c>
      <c r="B1474">
        <v>8</v>
      </c>
      <c r="C1474">
        <v>-6</v>
      </c>
      <c r="D1474">
        <v>1</v>
      </c>
      <c r="E1474" t="s">
        <v>23</v>
      </c>
      <c r="F1474" t="s">
        <v>57</v>
      </c>
      <c r="G1474" t="s">
        <v>10</v>
      </c>
    </row>
    <row r="1475" spans="1:7" x14ac:dyDescent="0.25">
      <c r="A1475" t="s">
        <v>71</v>
      </c>
      <c r="B1475">
        <v>12</v>
      </c>
      <c r="C1475">
        <v>2</v>
      </c>
      <c r="D1475">
        <v>2</v>
      </c>
      <c r="E1475" t="s">
        <v>23</v>
      </c>
      <c r="F1475" t="s">
        <v>43</v>
      </c>
      <c r="G1475" t="s">
        <v>19</v>
      </c>
    </row>
    <row r="1476" spans="1:7" x14ac:dyDescent="0.25">
      <c r="A1476" t="s">
        <v>15</v>
      </c>
      <c r="B1476">
        <v>1716</v>
      </c>
      <c r="C1476">
        <v>309</v>
      </c>
      <c r="D1476">
        <v>7</v>
      </c>
      <c r="E1476" t="s">
        <v>8</v>
      </c>
      <c r="F1476" t="s">
        <v>73</v>
      </c>
      <c r="G1476" t="s">
        <v>10</v>
      </c>
    </row>
    <row r="1477" spans="1:7" x14ac:dyDescent="0.25">
      <c r="A1477" t="s">
        <v>285</v>
      </c>
      <c r="B1477">
        <v>1117</v>
      </c>
      <c r="C1477">
        <v>447</v>
      </c>
      <c r="D1477">
        <v>10</v>
      </c>
      <c r="E1477" t="s">
        <v>12</v>
      </c>
      <c r="F1477" t="s">
        <v>16</v>
      </c>
      <c r="G1477" t="s">
        <v>14</v>
      </c>
    </row>
    <row r="1478" spans="1:7" x14ac:dyDescent="0.25">
      <c r="A1478" t="s">
        <v>38</v>
      </c>
      <c r="B1478">
        <v>9</v>
      </c>
      <c r="C1478">
        <v>-6</v>
      </c>
      <c r="D1478">
        <v>2</v>
      </c>
      <c r="E1478" t="s">
        <v>23</v>
      </c>
      <c r="F1478" t="s">
        <v>43</v>
      </c>
      <c r="G1478" t="s">
        <v>19</v>
      </c>
    </row>
    <row r="1479" spans="1:7" x14ac:dyDescent="0.25">
      <c r="A1479" t="s">
        <v>53</v>
      </c>
      <c r="B1479">
        <v>332</v>
      </c>
      <c r="C1479">
        <v>503</v>
      </c>
      <c r="D1479">
        <v>3</v>
      </c>
      <c r="E1479" t="s">
        <v>8</v>
      </c>
      <c r="F1479" t="s">
        <v>18</v>
      </c>
      <c r="G1479" t="s">
        <v>10</v>
      </c>
    </row>
    <row r="1480" spans="1:7" x14ac:dyDescent="0.25">
      <c r="A1480" t="s">
        <v>38</v>
      </c>
      <c r="B1480">
        <v>7</v>
      </c>
      <c r="C1480">
        <v>-4</v>
      </c>
      <c r="D1480">
        <v>3</v>
      </c>
      <c r="E1480" t="s">
        <v>23</v>
      </c>
      <c r="F1480" t="s">
        <v>30</v>
      </c>
      <c r="G1480" t="s">
        <v>10</v>
      </c>
    </row>
    <row r="1481" spans="1:7" x14ac:dyDescent="0.25">
      <c r="A1481" t="s">
        <v>346</v>
      </c>
      <c r="B1481">
        <v>8</v>
      </c>
      <c r="C1481">
        <v>-2</v>
      </c>
      <c r="D1481">
        <v>3</v>
      </c>
      <c r="E1481" t="s">
        <v>23</v>
      </c>
      <c r="F1481" t="s">
        <v>30</v>
      </c>
      <c r="G1481" t="s">
        <v>19</v>
      </c>
    </row>
    <row r="1482" spans="1:7" x14ac:dyDescent="0.25">
      <c r="A1482" t="s">
        <v>395</v>
      </c>
      <c r="B1482">
        <v>2061</v>
      </c>
      <c r="C1482">
        <v>701</v>
      </c>
      <c r="D1482">
        <v>5</v>
      </c>
      <c r="E1482" t="s">
        <v>12</v>
      </c>
      <c r="F1482" t="s">
        <v>16</v>
      </c>
      <c r="G1482" t="s">
        <v>28</v>
      </c>
    </row>
    <row r="1483" spans="1:7" x14ac:dyDescent="0.25">
      <c r="A1483" t="s">
        <v>470</v>
      </c>
      <c r="B1483">
        <v>1103</v>
      </c>
      <c r="C1483">
        <v>276</v>
      </c>
      <c r="D1483">
        <v>3</v>
      </c>
      <c r="E1483" t="s">
        <v>12</v>
      </c>
      <c r="F1483" t="s">
        <v>13</v>
      </c>
      <c r="G1483" t="s">
        <v>14</v>
      </c>
    </row>
    <row r="1484" spans="1:7" x14ac:dyDescent="0.25">
      <c r="A1484" t="s">
        <v>310</v>
      </c>
      <c r="B1484">
        <v>2103</v>
      </c>
      <c r="C1484">
        <v>322</v>
      </c>
      <c r="D1484">
        <v>8</v>
      </c>
      <c r="E1484" t="s">
        <v>8</v>
      </c>
      <c r="F1484" t="s">
        <v>9</v>
      </c>
      <c r="G1484" t="s">
        <v>28</v>
      </c>
    </row>
    <row r="1485" spans="1:7" x14ac:dyDescent="0.25">
      <c r="A1485" t="s">
        <v>22</v>
      </c>
      <c r="B1485">
        <v>2115</v>
      </c>
      <c r="C1485">
        <v>23</v>
      </c>
      <c r="D1485">
        <v>5</v>
      </c>
      <c r="E1485" t="s">
        <v>12</v>
      </c>
      <c r="F1485" t="s">
        <v>13</v>
      </c>
      <c r="G1485" t="s">
        <v>10</v>
      </c>
    </row>
    <row r="1486" spans="1:7" x14ac:dyDescent="0.25">
      <c r="A1486" t="s">
        <v>44</v>
      </c>
      <c r="B1486">
        <v>850</v>
      </c>
      <c r="C1486">
        <v>-289</v>
      </c>
      <c r="D1486">
        <v>5</v>
      </c>
      <c r="E1486" t="s">
        <v>8</v>
      </c>
      <c r="F1486" t="s">
        <v>9</v>
      </c>
      <c r="G1486" t="s">
        <v>10</v>
      </c>
    </row>
    <row r="1487" spans="1:7" x14ac:dyDescent="0.25">
      <c r="A1487" t="s">
        <v>50</v>
      </c>
      <c r="B1487">
        <v>1063</v>
      </c>
      <c r="C1487">
        <v>64</v>
      </c>
      <c r="D1487">
        <v>7</v>
      </c>
      <c r="E1487" t="s">
        <v>8</v>
      </c>
      <c r="F1487" t="s">
        <v>21</v>
      </c>
      <c r="G1487" t="s">
        <v>14</v>
      </c>
    </row>
    <row r="1488" spans="1:7" x14ac:dyDescent="0.25">
      <c r="A1488" t="s">
        <v>478</v>
      </c>
      <c r="B1488">
        <v>1063</v>
      </c>
      <c r="C1488">
        <v>-175</v>
      </c>
      <c r="D1488">
        <v>4</v>
      </c>
      <c r="E1488" t="s">
        <v>8</v>
      </c>
      <c r="F1488" t="s">
        <v>9</v>
      </c>
      <c r="G1488" t="s">
        <v>14</v>
      </c>
    </row>
    <row r="1489" spans="1:7" x14ac:dyDescent="0.25">
      <c r="A1489" t="s">
        <v>321</v>
      </c>
      <c r="B1489">
        <v>2292</v>
      </c>
      <c r="C1489">
        <v>127</v>
      </c>
      <c r="D1489">
        <v>7</v>
      </c>
      <c r="E1489" t="s">
        <v>12</v>
      </c>
      <c r="F1489" t="s">
        <v>16</v>
      </c>
      <c r="G1489" t="s">
        <v>10</v>
      </c>
    </row>
    <row r="1490" spans="1:7" x14ac:dyDescent="0.25">
      <c r="A1490" t="s">
        <v>290</v>
      </c>
      <c r="B1490">
        <v>7</v>
      </c>
      <c r="C1490">
        <v>-1</v>
      </c>
      <c r="D1490">
        <v>2</v>
      </c>
      <c r="E1490" t="s">
        <v>23</v>
      </c>
      <c r="F1490" t="s">
        <v>30</v>
      </c>
      <c r="G1490" t="s">
        <v>19</v>
      </c>
    </row>
    <row r="1491" spans="1:7" x14ac:dyDescent="0.25">
      <c r="A1491" t="s">
        <v>436</v>
      </c>
      <c r="B1491">
        <v>2452</v>
      </c>
      <c r="C1491">
        <v>191</v>
      </c>
      <c r="D1491">
        <v>7</v>
      </c>
      <c r="E1491" t="s">
        <v>12</v>
      </c>
      <c r="F1491" t="s">
        <v>16</v>
      </c>
      <c r="G1491" t="s">
        <v>28</v>
      </c>
    </row>
    <row r="1492" spans="1:7" x14ac:dyDescent="0.25">
      <c r="A1492" t="s">
        <v>187</v>
      </c>
      <c r="B1492">
        <v>2457</v>
      </c>
      <c r="C1492">
        <v>665</v>
      </c>
      <c r="D1492">
        <v>11</v>
      </c>
      <c r="E1492" t="s">
        <v>8</v>
      </c>
      <c r="F1492" t="s">
        <v>9</v>
      </c>
      <c r="G1492" t="s">
        <v>14</v>
      </c>
    </row>
    <row r="1493" spans="1:7" x14ac:dyDescent="0.25">
      <c r="A1493" t="s">
        <v>99</v>
      </c>
      <c r="B1493">
        <v>4</v>
      </c>
      <c r="C1493">
        <v>-3</v>
      </c>
      <c r="D1493">
        <v>1</v>
      </c>
      <c r="E1493" t="s">
        <v>23</v>
      </c>
      <c r="F1493" t="s">
        <v>43</v>
      </c>
      <c r="G1493" t="s">
        <v>19</v>
      </c>
    </row>
    <row r="1494" spans="1:7" x14ac:dyDescent="0.25">
      <c r="A1494" t="s">
        <v>208</v>
      </c>
      <c r="B1494">
        <v>2830</v>
      </c>
      <c r="C1494">
        <v>-1981</v>
      </c>
      <c r="D1494">
        <v>13</v>
      </c>
      <c r="E1494" t="s">
        <v>12</v>
      </c>
      <c r="F1494" t="s">
        <v>16</v>
      </c>
      <c r="G1494" t="s">
        <v>14</v>
      </c>
    </row>
    <row r="1495" spans="1:7" x14ac:dyDescent="0.25">
      <c r="A1495" t="s">
        <v>186</v>
      </c>
      <c r="B1495">
        <v>7</v>
      </c>
      <c r="C1495">
        <v>1</v>
      </c>
      <c r="D1495">
        <v>1</v>
      </c>
      <c r="E1495" t="s">
        <v>23</v>
      </c>
      <c r="F1495" t="s">
        <v>30</v>
      </c>
      <c r="G1495" t="s">
        <v>10</v>
      </c>
    </row>
    <row r="1496" spans="1:7" x14ac:dyDescent="0.25">
      <c r="A1496" t="s">
        <v>438</v>
      </c>
      <c r="B1496">
        <v>7</v>
      </c>
      <c r="C1496">
        <v>0</v>
      </c>
      <c r="D1496">
        <v>2</v>
      </c>
      <c r="E1496" t="s">
        <v>23</v>
      </c>
      <c r="F1496" t="s">
        <v>43</v>
      </c>
      <c r="G1496" t="s">
        <v>10</v>
      </c>
    </row>
    <row r="1497" spans="1:7" x14ac:dyDescent="0.25">
      <c r="A1497" t="s">
        <v>268</v>
      </c>
      <c r="B1497">
        <v>7</v>
      </c>
      <c r="C1497">
        <v>-3</v>
      </c>
      <c r="D1497">
        <v>2</v>
      </c>
      <c r="E1497" t="s">
        <v>23</v>
      </c>
      <c r="F1497" t="s">
        <v>30</v>
      </c>
      <c r="G1497" t="s">
        <v>10</v>
      </c>
    </row>
    <row r="1498" spans="1:7" x14ac:dyDescent="0.25">
      <c r="A1498" t="s">
        <v>104</v>
      </c>
      <c r="B1498">
        <v>3151</v>
      </c>
      <c r="C1498">
        <v>-35</v>
      </c>
      <c r="D1498">
        <v>7</v>
      </c>
      <c r="E1498" t="s">
        <v>23</v>
      </c>
      <c r="F1498" t="s">
        <v>24</v>
      </c>
      <c r="G1498" t="s">
        <v>14</v>
      </c>
    </row>
    <row r="1499" spans="1:7" x14ac:dyDescent="0.25">
      <c r="A1499" t="s">
        <v>225</v>
      </c>
      <c r="B1499">
        <v>4141</v>
      </c>
      <c r="C1499">
        <v>1698</v>
      </c>
      <c r="D1499">
        <v>13</v>
      </c>
      <c r="E1499" t="s">
        <v>8</v>
      </c>
      <c r="F1499" t="s">
        <v>18</v>
      </c>
      <c r="G1499" t="s">
        <v>10</v>
      </c>
    </row>
    <row r="1500" spans="1:7" x14ac:dyDescent="0.25">
      <c r="A1500" t="s">
        <v>182</v>
      </c>
      <c r="B1500">
        <v>7</v>
      </c>
      <c r="C1500">
        <v>-2</v>
      </c>
      <c r="D1500">
        <v>1</v>
      </c>
      <c r="E1500" t="s">
        <v>23</v>
      </c>
      <c r="F1500" t="s">
        <v>30</v>
      </c>
      <c r="G1500" t="s">
        <v>10</v>
      </c>
    </row>
    <row r="1501" spans="1:7" x14ac:dyDescent="0.25">
      <c r="A1501" t="s">
        <v>164</v>
      </c>
      <c r="B1501">
        <v>4363</v>
      </c>
      <c r="C1501">
        <v>305</v>
      </c>
      <c r="D1501">
        <v>5</v>
      </c>
      <c r="E1501" t="s">
        <v>12</v>
      </c>
      <c r="F1501" t="s">
        <v>45</v>
      </c>
      <c r="G1501" t="s">
        <v>14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6BD190-C3BF-4C3A-99A8-0AEAB8F7197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Insights</vt:lpstr>
      <vt:lpstr>Dashboard</vt:lpstr>
      <vt:lpstr>PivotTables</vt:lpstr>
      <vt:lpstr>database</vt:lpstr>
      <vt:lpstr>Orders</vt:lpstr>
      <vt:lpstr>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Syahraz Fiqar Alamsyah</dc:creator>
  <cp:lastModifiedBy>Syahraz Fiqar Alamsyah</cp:lastModifiedBy>
  <dcterms:created xsi:type="dcterms:W3CDTF">2025-11-28T01:38:54Z</dcterms:created>
  <dcterms:modified xsi:type="dcterms:W3CDTF">2025-12-01T04:42:22Z</dcterms:modified>
</cp:coreProperties>
</file>